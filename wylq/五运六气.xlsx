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hinese_Culture\五运六气\"/>
    </mc:Choice>
  </mc:AlternateContent>
  <xr:revisionPtr revIDLastSave="0" documentId="13_ncr:1_{A8687399-14D9-4F26-8B1F-520BBB7E45C1}" xr6:coauthVersionLast="47" xr6:coauthVersionMax="47" xr10:uidLastSave="{00000000-0000-0000-0000-000000000000}"/>
  <bookViews>
    <workbookView xWindow="-98" yWindow="-98" windowWidth="28996" windowHeight="17475" activeTab="11" xr2:uid="{686AF852-65C9-4422-8DEC-D9EA9F1262FB}"/>
  </bookViews>
  <sheets>
    <sheet name="五行" sheetId="4" r:id="rId1"/>
    <sheet name="五方" sheetId="6" r:id="rId2"/>
    <sheet name="五季" sheetId="7" r:id="rId3"/>
    <sheet name="天干" sheetId="1" r:id="rId4"/>
    <sheet name="十干五行配合表" sheetId="5" r:id="rId5"/>
    <sheet name="地支" sheetId="2" r:id="rId6"/>
    <sheet name="甲子表" sheetId="3" r:id="rId7"/>
    <sheet name="十二支月建五行所属" sheetId="9" r:id="rId8"/>
    <sheet name="五运" sheetId="10" r:id="rId9"/>
    <sheet name="十干化运" sheetId="11" r:id="rId10"/>
    <sheet name="二十八宿" sheetId="12" r:id="rId11"/>
    <sheet name="天色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2" l="1"/>
  <c r="F10" i="12" s="1"/>
  <c r="G10" i="12" s="1"/>
  <c r="F11" i="12" s="1"/>
  <c r="G11" i="12" s="1"/>
  <c r="F12" i="12" s="1"/>
  <c r="G12" i="12" s="1"/>
  <c r="F13" i="12" s="1"/>
  <c r="G13" i="12" s="1"/>
  <c r="F14" i="12" s="1"/>
  <c r="G14" i="12" s="1"/>
  <c r="F15" i="12" s="1"/>
  <c r="G15" i="12" s="1"/>
  <c r="F16" i="12" s="1"/>
  <c r="G16" i="12" s="1"/>
  <c r="F17" i="12" s="1"/>
  <c r="G17" i="12" s="1"/>
  <c r="F18" i="12" s="1"/>
  <c r="G18" i="12" s="1"/>
  <c r="F19" i="12" s="1"/>
  <c r="G19" i="12" s="1"/>
  <c r="F20" i="12" s="1"/>
  <c r="G20" i="12" s="1"/>
  <c r="F21" i="12" s="1"/>
  <c r="G21" i="12" s="1"/>
  <c r="F22" i="12" s="1"/>
  <c r="G22" i="12" s="1"/>
  <c r="F23" i="12" s="1"/>
  <c r="G23" i="12" s="1"/>
  <c r="F24" i="12" s="1"/>
  <c r="G24" i="12" s="1"/>
  <c r="F25" i="12" s="1"/>
  <c r="G25" i="12" s="1"/>
  <c r="F26" i="12" s="1"/>
  <c r="G26" i="12" s="1"/>
  <c r="F27" i="12" s="1"/>
  <c r="G27" i="12" s="1"/>
  <c r="F28" i="12" s="1"/>
  <c r="G28" i="12" s="1"/>
  <c r="F29" i="12" s="1"/>
  <c r="G29" i="12" s="1"/>
  <c r="F2" i="12" s="1"/>
  <c r="G2" i="12" s="1"/>
  <c r="F3" i="12" s="1"/>
  <c r="G3" i="12" s="1"/>
  <c r="F4" i="12" s="1"/>
  <c r="G4" i="12" s="1"/>
  <c r="F5" i="12" s="1"/>
  <c r="G5" i="12" s="1"/>
  <c r="F6" i="12" s="1"/>
  <c r="G6" i="12" s="1"/>
  <c r="F7" i="12" s="1"/>
  <c r="G7" i="12" s="1"/>
  <c r="F8" i="12" s="1"/>
  <c r="G8" i="12" s="1"/>
</calcChain>
</file>

<file path=xl/sharedStrings.xml><?xml version="1.0" encoding="utf-8"?>
<sst xmlns="http://schemas.openxmlformats.org/spreadsheetml/2006/main" count="574" uniqueCount="175">
  <si>
    <t>甲</t>
  </si>
  <si>
    <t>乙</t>
  </si>
  <si>
    <t>丙</t>
  </si>
  <si>
    <t>丁</t>
  </si>
  <si>
    <t>戊</t>
  </si>
  <si>
    <t>己</t>
  </si>
  <si>
    <t>庚</t>
  </si>
  <si>
    <t>申</t>
  </si>
  <si>
    <t>酉</t>
  </si>
  <si>
    <t>癸</t>
  </si>
  <si>
    <t>子</t>
  </si>
  <si>
    <t>丑</t>
  </si>
  <si>
    <t>寅</t>
  </si>
  <si>
    <t>卯</t>
  </si>
  <si>
    <t>辛</t>
  </si>
  <si>
    <t>壬</t>
  </si>
  <si>
    <t>辰</t>
  </si>
  <si>
    <t>巳</t>
  </si>
  <si>
    <t>午</t>
  </si>
  <si>
    <t>未</t>
  </si>
  <si>
    <t>戌</t>
  </si>
  <si>
    <t>亥</t>
  </si>
  <si>
    <t>zǐ</t>
  </si>
  <si>
    <t>chǒu</t>
  </si>
  <si>
    <t>yín</t>
  </si>
  <si>
    <t>mǎo</t>
  </si>
  <si>
    <t>chén</t>
  </si>
  <si>
    <t>sì</t>
  </si>
  <si>
    <t>wǔ</t>
  </si>
  <si>
    <t>wèi</t>
  </si>
  <si>
    <t>shēn</t>
  </si>
  <si>
    <t>yǒu</t>
  </si>
  <si>
    <t>xū</t>
  </si>
  <si>
    <t>hài</t>
  </si>
  <si>
    <t xml:space="preserve"> jiǎ </t>
  </si>
  <si>
    <t xml:space="preserve"> yǐ </t>
  </si>
  <si>
    <t xml:space="preserve"> bǐng </t>
  </si>
  <si>
    <t xml:space="preserve"> dīng </t>
  </si>
  <si>
    <t xml:space="preserve"> wù </t>
  </si>
  <si>
    <t xml:space="preserve"> jǐ </t>
  </si>
  <si>
    <t xml:space="preserve"> gēng </t>
  </si>
  <si>
    <t xml:space="preserve"> xīn </t>
  </si>
  <si>
    <t xml:space="preserve"> rén </t>
  </si>
  <si>
    <t xml:space="preserve"> guǐ </t>
  </si>
  <si>
    <t>天干</t>
  </si>
  <si>
    <t>编号</t>
  </si>
  <si>
    <t>拼音</t>
  </si>
  <si>
    <t>地支</t>
  </si>
  <si>
    <t>关系</t>
  </si>
  <si>
    <t>配</t>
  </si>
  <si>
    <t>阴阳</t>
  </si>
  <si>
    <t>阳干</t>
  </si>
  <si>
    <t>阴干</t>
  </si>
  <si>
    <t>阳支</t>
  </si>
  <si>
    <t>阴支</t>
  </si>
  <si>
    <t>五行</t>
  </si>
  <si>
    <t>五方</t>
  </si>
  <si>
    <t>五季</t>
  </si>
  <si>
    <t>月份</t>
  </si>
  <si>
    <t>月十一</t>
  </si>
  <si>
    <t>月十二</t>
  </si>
  <si>
    <t>月一</t>
  </si>
  <si>
    <t>月二</t>
  </si>
  <si>
    <t>月三</t>
  </si>
  <si>
    <t>月四</t>
  </si>
  <si>
    <t>月五</t>
  </si>
  <si>
    <t>月六</t>
  </si>
  <si>
    <t>月七</t>
  </si>
  <si>
    <t>月八</t>
  </si>
  <si>
    <t>月九</t>
  </si>
  <si>
    <t>月十</t>
  </si>
  <si>
    <t>月名</t>
  </si>
  <si>
    <t>冬仲</t>
  </si>
  <si>
    <t>冬季</t>
  </si>
  <si>
    <t>春孟</t>
  </si>
  <si>
    <t>春仲</t>
  </si>
  <si>
    <t>春季</t>
  </si>
  <si>
    <t>夏孟</t>
  </si>
  <si>
    <t>夏仲</t>
  </si>
  <si>
    <t>夏季</t>
  </si>
  <si>
    <t>秋仲</t>
  </si>
  <si>
    <t>秋孟</t>
  </si>
  <si>
    <t>秋季</t>
  </si>
  <si>
    <t>冬孟</t>
  </si>
  <si>
    <t>五运</t>
  </si>
  <si>
    <t>主</t>
  </si>
  <si>
    <t>五运到天干</t>
  </si>
  <si>
    <t>木行</t>
  </si>
  <si>
    <t>火行</t>
  </si>
  <si>
    <t>土行</t>
  </si>
  <si>
    <t>金行</t>
  </si>
  <si>
    <t>水行</t>
  </si>
  <si>
    <t>东方</t>
  </si>
  <si>
    <t>南方</t>
  </si>
  <si>
    <t>中方</t>
  </si>
  <si>
    <t>西方</t>
  </si>
  <si>
    <t>北方</t>
  </si>
  <si>
    <t>长夏季</t>
  </si>
  <si>
    <t>木运</t>
  </si>
  <si>
    <t>火运</t>
  </si>
  <si>
    <t>土运</t>
  </si>
  <si>
    <t>金运</t>
  </si>
  <si>
    <t>水运</t>
  </si>
  <si>
    <t>宿名</t>
  </si>
  <si>
    <t>牛</t>
  </si>
  <si>
    <t>女</t>
  </si>
  <si>
    <t>心</t>
  </si>
  <si>
    <t>尾</t>
  </si>
  <si>
    <t>危</t>
  </si>
  <si>
    <t>室</t>
  </si>
  <si>
    <t>柳</t>
  </si>
  <si>
    <t>鬼</t>
  </si>
  <si>
    <t>亢</t>
  </si>
  <si>
    <t>氐</t>
  </si>
  <si>
    <t>昴</t>
  </si>
  <si>
    <t>毕</t>
  </si>
  <si>
    <t>张</t>
  </si>
  <si>
    <t>翼</t>
  </si>
  <si>
    <t>娄</t>
  </si>
  <si>
    <t>胃</t>
  </si>
  <si>
    <t>奎</t>
  </si>
  <si>
    <t>壁</t>
  </si>
  <si>
    <t>觜</t>
  </si>
  <si>
    <t>轸</t>
  </si>
  <si>
    <t>斗</t>
  </si>
  <si>
    <t>虚</t>
  </si>
  <si>
    <t>参</t>
  </si>
  <si>
    <t>井</t>
  </si>
  <si>
    <t>星</t>
  </si>
  <si>
    <t>角</t>
  </si>
  <si>
    <t>房</t>
  </si>
  <si>
    <t>箕</t>
  </si>
  <si>
    <t>dǒu</t>
  </si>
  <si>
    <t>niú</t>
  </si>
  <si>
    <t>nǚ</t>
  </si>
  <si>
    <t>wēi</t>
  </si>
  <si>
    <t>shì</t>
  </si>
  <si>
    <t>bì</t>
  </si>
  <si>
    <t>kuí</t>
  </si>
  <si>
    <t>lóu</t>
  </si>
  <si>
    <t>zī</t>
  </si>
  <si>
    <t>jǐng</t>
  </si>
  <si>
    <t>guǐ</t>
  </si>
  <si>
    <t>liǔ</t>
  </si>
  <si>
    <t>xīng</t>
  </si>
  <si>
    <t>zhāng</t>
  </si>
  <si>
    <t>yì</t>
  </si>
  <si>
    <t>zhěn</t>
  </si>
  <si>
    <t>jiǎo</t>
  </si>
  <si>
    <t>kàng</t>
  </si>
  <si>
    <t>dī</t>
  </si>
  <si>
    <t>fáng</t>
  </si>
  <si>
    <t>xīn</t>
  </si>
  <si>
    <t>wěi</t>
  </si>
  <si>
    <t>jī</t>
  </si>
  <si>
    <t>天体方位</t>
  </si>
  <si>
    <t>东方苍龙七宿</t>
  </si>
  <si>
    <t>北方玄武七宿</t>
  </si>
  <si>
    <t>西方白虎七宿</t>
  </si>
  <si>
    <t>南方朱雀七宿</t>
  </si>
  <si>
    <t>角度</t>
  </si>
  <si>
    <t>角度起始</t>
  </si>
  <si>
    <t>角度截至</t>
  </si>
  <si>
    <t>天色</t>
  </si>
  <si>
    <t>丹天</t>
  </si>
  <si>
    <t>黅天</t>
  </si>
  <si>
    <t>苍天</t>
  </si>
  <si>
    <t>素天</t>
  </si>
  <si>
    <t>玄天</t>
  </si>
  <si>
    <t>颜色</t>
  </si>
  <si>
    <t>赤色</t>
  </si>
  <si>
    <t>黄色</t>
  </si>
  <si>
    <t>青色</t>
  </si>
  <si>
    <t>白色</t>
  </si>
  <si>
    <t>黑色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</si>
</sst>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" xfId="0" applyFont="1" applyBorder="1"/>
    <xf numFmtId="0" fontId="1" fillId="0" borderId="10" xfId="0" applyFont="1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1" fillId="0" borderId="5" xfId="0" applyFont="1" applyBorder="1" applyAlignment="1">
      <alignment horizontal="left" vertical="center"/>
    </xf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0" borderId="3" xfId="0" applyBorder="1"/>
  </cellXfs>
  <cellStyles count="1">
    <cellStyle name="Normal" xfId="0" builtinId="0"/>
  </cellStyles>
  <dxfs count="9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/>
        <top style="thin">
          <color indexed="64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71B83DE-7B24-4E12-B164-06700BCD27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DBEB4A-4D94-4F5D-9507-DAB2A16D2645}" name="Table4" displayName="Table4" ref="A1:B6" totalsRowShown="0" headerRowDxfId="90" headerRowBorderDxfId="89" tableBorderDxfId="88" totalsRowBorderDxfId="87">
  <autoFilter ref="A1:B6" xr:uid="{27DBEB4A-4D94-4F5D-9507-DAB2A16D2645}"/>
  <tableColumns count="2">
    <tableColumn id="1" xr3:uid="{78414386-8E42-49FA-B1DD-692BD4CAE1C8}" name="五行" dataDxfId="86"/>
    <tableColumn id="2" xr3:uid="{A3998E14-4AB3-48C8-BD8F-59E116846364}" name="编号" dataDxfId="8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D242B1-2E67-4564-8AE0-8CAC643C27DC}" name="Table46" displayName="Table46" ref="A1:B6" totalsRowShown="0" headerRowDxfId="84" headerRowBorderDxfId="83" tableBorderDxfId="82" totalsRowBorderDxfId="81">
  <autoFilter ref="A1:B6" xr:uid="{27DBEB4A-4D94-4F5D-9507-DAB2A16D2645}"/>
  <tableColumns count="2">
    <tableColumn id="1" xr3:uid="{B41A2F7B-CCDB-43F2-903B-567E7E4EB953}" name="五方" dataDxfId="80"/>
    <tableColumn id="2" xr3:uid="{EC05A96E-0D4C-446A-B005-2D58757E8C69}" name="编号" dataDxfId="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3F5EFE-485D-4EB7-B848-4B2ABBA774DC}" name="Table467" displayName="Table467" ref="A1:B6" totalsRowShown="0" headerRowDxfId="78" headerRowBorderDxfId="77" tableBorderDxfId="76" totalsRowBorderDxfId="75">
  <autoFilter ref="A1:B6" xr:uid="{27DBEB4A-4D94-4F5D-9507-DAB2A16D2645}"/>
  <tableColumns count="2">
    <tableColumn id="1" xr3:uid="{6D0FFD84-65BE-4B07-9AB8-730BBBD7C58C}" name="五季" dataDxfId="74"/>
    <tableColumn id="2" xr3:uid="{E6607446-92B6-4A97-9E6A-B72603A9CC65}" name="编号" dataDxfId="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CF018-9ABD-4B7D-A7AA-EFCC9BE62B55}" name="Table1" displayName="Table1" ref="A1:D11" totalsRowShown="0" headerRowDxfId="72" dataDxfId="70" headerRowBorderDxfId="71" tableBorderDxfId="69" totalsRowBorderDxfId="68">
  <autoFilter ref="A1:D11" xr:uid="{0C2CF018-9ABD-4B7D-A7AA-EFCC9BE62B55}"/>
  <tableColumns count="4">
    <tableColumn id="1" xr3:uid="{4D2A3540-D2E1-46F4-879D-A42593F10454}" name="天干" dataDxfId="67"/>
    <tableColumn id="2" xr3:uid="{88DAD465-9A0F-4BE0-9E94-B25944EC5389}" name="编号" dataDxfId="66"/>
    <tableColumn id="3" xr3:uid="{1CD23E54-52C6-43A4-9561-818F030DDE55}" name="拼音" dataDxfId="65"/>
    <tableColumn id="4" xr3:uid="{782EE33B-26D8-472E-B54B-8562F370FD1B}" name="阴阳" dataDxfId="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5616E0-56DE-4D75-BE4D-A781B3D742BF}" name="Table7" displayName="Table7" ref="A1:D11" totalsRowShown="0" headerRowBorderDxfId="63" tableBorderDxfId="62" totalsRowBorderDxfId="61">
  <autoFilter ref="A1:D11" xr:uid="{DC5616E0-56DE-4D75-BE4D-A781B3D742BF}"/>
  <tableColumns count="4">
    <tableColumn id="1" xr3:uid="{D869685C-2730-4E56-9E53-97C3C5E20529}" name="天干" dataDxfId="60"/>
    <tableColumn id="2" xr3:uid="{FD434002-8BB8-41D4-BBEB-9C66A07836B1}" name="五行" dataDxfId="59"/>
    <tableColumn id="3" xr3:uid="{CDD92BBE-92BD-4FA5-B180-79B7F9ECA08B}" name="五方" dataDxfId="58"/>
    <tableColumn id="4" xr3:uid="{340E14CC-E561-4A75-9CF1-0130A9869FEF}" name="五季" dataDxfId="5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5FD60-AE36-47AB-82DB-7CCC2FF98E8B}" name="Table2" displayName="Table2" ref="A1:D13" totalsRowShown="0" headerRowDxfId="56" headerRowBorderDxfId="55" tableBorderDxfId="54" totalsRowBorderDxfId="53">
  <autoFilter ref="A1:D13" xr:uid="{EA85FD60-AE36-47AB-82DB-7CCC2FF98E8B}"/>
  <tableColumns count="4">
    <tableColumn id="1" xr3:uid="{5ACF60A3-55E5-443D-9B85-FBF492C102EB}" name="地支" dataDxfId="52"/>
    <tableColumn id="2" xr3:uid="{B4D4E2EC-9061-425B-80E2-24CC6EC398F1}" name="编号" dataDxfId="51"/>
    <tableColumn id="3" xr3:uid="{2D3B1A4C-AF83-4113-8F4C-68D255B748CA}" name="拼音" dataDxfId="50"/>
    <tableColumn id="4" xr3:uid="{7AE6E555-C2BC-4463-A96D-0B7BB9381F14}" name="阴阳" dataDxfId="4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AF0C43-A8DE-4216-87B2-8F0DB959B7C0}" name="Table3" displayName="Table3" ref="A1:D61" totalsRowShown="0" headerRowDxfId="48" headerRowBorderDxfId="47" tableBorderDxfId="46" totalsRowBorderDxfId="45">
  <autoFilter ref="A1:D61" xr:uid="{10AF0C43-A8DE-4216-87B2-8F0DB959B7C0}"/>
  <tableColumns count="4">
    <tableColumn id="1" xr3:uid="{C626788C-4738-4319-A98D-2DB6A38B0113}" name="天干" dataDxfId="44"/>
    <tableColumn id="2" xr3:uid="{75D140F1-126B-4859-A666-A9E617876826}" name="地支" dataDxfId="43"/>
    <tableColumn id="3" xr3:uid="{3A3F57C1-FDA7-461C-B4B2-00BF5D86B8D3}" name="编号" dataDxfId="42"/>
    <tableColumn id="4" xr3:uid="{10375F55-133E-4261-83D9-D2B4F80F5F42}" name="关系" dataDxfId="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D5E785-B8CA-419F-A531-9D8DB9BB64DC}" name="Table29" displayName="Table29" ref="A1:D13" totalsRowShown="0" headerRowDxfId="40" headerRowBorderDxfId="39" tableBorderDxfId="38" totalsRowBorderDxfId="37">
  <autoFilter ref="A1:D13" xr:uid="{EA85FD60-AE36-47AB-82DB-7CCC2FF98E8B}"/>
  <tableColumns count="4">
    <tableColumn id="1" xr3:uid="{F8E6F0F5-CEBF-4DB0-9D54-39902E60AF54}" name="地支" dataDxfId="36"/>
    <tableColumn id="5" xr3:uid="{187DB119-4726-41BB-A851-179F6AF57CB5}" name="月份" dataDxfId="35"/>
    <tableColumn id="6" xr3:uid="{C6252174-1D1C-42E5-BCBD-E5A37CE0957C}" name="月名" dataDxfId="34"/>
    <tableColumn id="7" xr3:uid="{47901056-BDB7-49E7-99D2-7F6409648C51}" name="五行" dataDxfId="3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43C640-A1EF-4DAD-B95E-F4F981E68BEA}" name="Table410" displayName="Table410" ref="A1:B6" totalsRowShown="0" headerRowDxfId="32" headerRowBorderDxfId="31" tableBorderDxfId="30" totalsRowBorderDxfId="29">
  <autoFilter ref="A1:B6" xr:uid="{27DBEB4A-4D94-4F5D-9507-DAB2A16D2645}"/>
  <tableColumns count="2">
    <tableColumn id="1" xr3:uid="{3EC41A46-1201-453A-857C-1B15FE60AA6C}" name="五运" dataDxfId="28"/>
    <tableColumn id="2" xr3:uid="{F80EC4FE-5732-4832-B2D3-77E4D1EF4234}" name="编号" dataDxfId="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D971EB-EDA4-44DA-A7CA-D1899141DA71}" name="Table10" displayName="Table10" ref="A1:C11" totalsRowShown="0" headerRowDxfId="26" headerRowBorderDxfId="25" tableBorderDxfId="24" totalsRowBorderDxfId="23">
  <autoFilter ref="A1:C11" xr:uid="{A2D971EB-EDA4-44DA-A7CA-D1899141DA71}"/>
  <tableColumns count="3">
    <tableColumn id="1" xr3:uid="{3B28B1FE-065C-47E6-AC2A-3B98081EA312}" name="五运" dataDxfId="22"/>
    <tableColumn id="2" xr3:uid="{88A48FF0-9E77-47A3-80CE-D4EF766A0F82}" name="天干" dataDxfId="21"/>
    <tableColumn id="3" xr3:uid="{5412C49F-A0F9-43EA-9CD8-BDFC577E37C9}" name="五运到天干" dataDxfId="2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2C235C-A6A8-43EB-B1E3-F0F121CD74AC}" name="Table11" displayName="Table11" ref="A1:I29" totalsRowShown="0" headerRowDxfId="19" dataDxfId="17" headerRowBorderDxfId="18" tableBorderDxfId="16" totalsRowBorderDxfId="15">
  <autoFilter ref="A1:I29" xr:uid="{B02C235C-A6A8-43EB-B1E3-F0F121CD74AC}"/>
  <tableColumns count="9">
    <tableColumn id="1" xr3:uid="{7F066D5E-4E24-4830-83E7-31ECA9CEA425}" name="宿名" dataDxfId="14"/>
    <tableColumn id="2" xr3:uid="{BF599549-D56D-4B59-8F16-5A0E1C5EE5B4}" name="编号" dataDxfId="13"/>
    <tableColumn id="3" xr3:uid="{118935F5-3DE7-4596-AD77-24F8D64DC319}" name="拼音" dataDxfId="12"/>
    <tableColumn id="4" xr3:uid="{0DC38A34-C78F-4C26-8FE6-D5DE70A138D5}" name="天体方位" dataDxfId="11"/>
    <tableColumn id="5" xr3:uid="{C37876F1-816B-4F4F-BF3E-8823E0B4B941}" name="角度" dataDxfId="10"/>
    <tableColumn id="7" xr3:uid="{898569FA-FF3A-4BC6-BCB9-74BDD24C5308}" name="角度起始" dataDxfId="9"/>
    <tableColumn id="6" xr3:uid="{F090711D-FC97-4C80-8E95-86D1CBB8E412}" name="角度截至" dataDxfId="8"/>
    <tableColumn id="8" xr3:uid="{F55CBB25-00AD-4FC9-BBA1-C68047DA10AB}" name="五方" dataDxfId="7"/>
    <tableColumn id="9" xr3:uid="{811EEF2E-2D4F-490C-AD99-4618CDF9D38F}" name="天色" dataDxfId="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16D7FD7-E46E-4EA7-8E0A-D7C8C80C4429}" name="Table12" displayName="Table12" ref="A1:C6" totalsRowShown="0" headerRowDxfId="5" headerRowBorderDxfId="4" tableBorderDxfId="3" totalsRowBorderDxfId="2">
  <autoFilter ref="A1:C6" xr:uid="{916D7FD7-E46E-4EA7-8E0A-D7C8C80C4429}"/>
  <tableColumns count="3">
    <tableColumn id="1" xr3:uid="{9073D295-1661-4DA2-9A31-2E87F2F69824}" name="天色" dataDxfId="1"/>
    <tableColumn id="2" xr3:uid="{2780FD34-468A-4EEE-A087-A186E439A5A7}" name="颜色" dataDxfId="0"/>
    <tableColumn id="3" xr3:uid="{E601BC91-D6A4-4FC2-AAF5-2DA555D2ABBA}" name="五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B7C8-B75C-4319-86BF-E20895B96554}">
  <dimension ref="A1:B6"/>
  <sheetViews>
    <sheetView workbookViewId="0">
      <selection activeCell="A10" sqref="A10"/>
    </sheetView>
  </sheetViews>
  <sheetFormatPr defaultRowHeight="14.25" x14ac:dyDescent="0.45"/>
  <sheetData>
    <row r="1" spans="1:2" x14ac:dyDescent="0.45">
      <c r="A1" s="1" t="s">
        <v>55</v>
      </c>
      <c r="B1" s="2" t="s">
        <v>45</v>
      </c>
    </row>
    <row r="2" spans="1:2" x14ac:dyDescent="0.45">
      <c r="A2" s="3" t="s">
        <v>87</v>
      </c>
      <c r="B2" s="4">
        <v>1</v>
      </c>
    </row>
    <row r="3" spans="1:2" x14ac:dyDescent="0.45">
      <c r="A3" s="3" t="s">
        <v>88</v>
      </c>
      <c r="B3" s="4">
        <v>2</v>
      </c>
    </row>
    <row r="4" spans="1:2" x14ac:dyDescent="0.45">
      <c r="A4" s="3" t="s">
        <v>89</v>
      </c>
      <c r="B4" s="4">
        <v>3</v>
      </c>
    </row>
    <row r="5" spans="1:2" x14ac:dyDescent="0.45">
      <c r="A5" s="3" t="s">
        <v>90</v>
      </c>
      <c r="B5" s="4">
        <v>4</v>
      </c>
    </row>
    <row r="6" spans="1:2" x14ac:dyDescent="0.45">
      <c r="A6" s="5" t="s">
        <v>91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E468-C5E4-4A26-A783-74BBCC689245}">
  <dimension ref="A1:B6"/>
  <sheetViews>
    <sheetView workbookViewId="0">
      <selection activeCell="B14" sqref="B14"/>
    </sheetView>
  </sheetViews>
  <sheetFormatPr defaultRowHeight="14.25" x14ac:dyDescent="0.45"/>
  <sheetData>
    <row r="1" spans="1:2" x14ac:dyDescent="0.45">
      <c r="A1" s="1" t="s">
        <v>56</v>
      </c>
      <c r="B1" s="2" t="s">
        <v>45</v>
      </c>
    </row>
    <row r="2" spans="1:2" x14ac:dyDescent="0.45">
      <c r="A2" s="3" t="s">
        <v>92</v>
      </c>
      <c r="B2" s="4">
        <v>1</v>
      </c>
    </row>
    <row r="3" spans="1:2" x14ac:dyDescent="0.45">
      <c r="A3" s="3" t="s">
        <v>93</v>
      </c>
      <c r="B3" s="4">
        <v>2</v>
      </c>
    </row>
    <row r="4" spans="1:2" x14ac:dyDescent="0.45">
      <c r="A4" s="3" t="s">
        <v>94</v>
      </c>
      <c r="B4" s="4">
        <v>3</v>
      </c>
    </row>
    <row r="5" spans="1:2" x14ac:dyDescent="0.45">
      <c r="A5" s="3" t="s">
        <v>95</v>
      </c>
      <c r="B5" s="4">
        <v>4</v>
      </c>
    </row>
    <row r="6" spans="1:2" x14ac:dyDescent="0.45">
      <c r="A6" s="5" t="s">
        <v>96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C85B-AA7F-46B3-B882-73579D967342}">
  <dimension ref="A1:B6"/>
  <sheetViews>
    <sheetView workbookViewId="0">
      <selection activeCell="A6" sqref="A6"/>
    </sheetView>
  </sheetViews>
  <sheetFormatPr defaultRowHeight="14.25" x14ac:dyDescent="0.45"/>
  <sheetData>
    <row r="1" spans="1:2" x14ac:dyDescent="0.45">
      <c r="A1" s="1" t="s">
        <v>57</v>
      </c>
      <c r="B1" s="2" t="s">
        <v>45</v>
      </c>
    </row>
    <row r="2" spans="1:2" x14ac:dyDescent="0.45">
      <c r="A2" s="3" t="s">
        <v>76</v>
      </c>
      <c r="B2" s="4">
        <v>1</v>
      </c>
    </row>
    <row r="3" spans="1:2" x14ac:dyDescent="0.45">
      <c r="A3" s="3" t="s">
        <v>79</v>
      </c>
      <c r="B3" s="4">
        <v>2</v>
      </c>
    </row>
    <row r="4" spans="1:2" x14ac:dyDescent="0.45">
      <c r="A4" s="3" t="s">
        <v>97</v>
      </c>
      <c r="B4" s="4">
        <v>3</v>
      </c>
    </row>
    <row r="5" spans="1:2" x14ac:dyDescent="0.45">
      <c r="A5" s="3" t="s">
        <v>82</v>
      </c>
      <c r="B5" s="4">
        <v>4</v>
      </c>
    </row>
    <row r="6" spans="1:2" x14ac:dyDescent="0.45">
      <c r="A6" s="5" t="s">
        <v>73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2BBF-DF23-4AD0-8979-518E21932F22}">
  <dimension ref="A1:D11"/>
  <sheetViews>
    <sheetView workbookViewId="0">
      <selection sqref="A1:A11"/>
    </sheetView>
  </sheetViews>
  <sheetFormatPr defaultRowHeight="14.25" x14ac:dyDescent="0.45"/>
  <cols>
    <col min="1" max="16384" width="9.06640625" style="10"/>
  </cols>
  <sheetData>
    <row r="1" spans="1:4" x14ac:dyDescent="0.45">
      <c r="A1" s="7" t="s">
        <v>44</v>
      </c>
      <c r="B1" s="8" t="s">
        <v>45</v>
      </c>
      <c r="C1" s="8" t="s">
        <v>46</v>
      </c>
      <c r="D1" s="9" t="s">
        <v>50</v>
      </c>
    </row>
    <row r="2" spans="1:4" x14ac:dyDescent="0.45">
      <c r="A2" s="11" t="s">
        <v>0</v>
      </c>
      <c r="B2" s="12">
        <v>1</v>
      </c>
      <c r="C2" s="12" t="s">
        <v>34</v>
      </c>
      <c r="D2" s="13" t="s">
        <v>51</v>
      </c>
    </row>
    <row r="3" spans="1:4" x14ac:dyDescent="0.45">
      <c r="A3" s="11" t="s">
        <v>1</v>
      </c>
      <c r="B3" s="12">
        <v>2</v>
      </c>
      <c r="C3" s="12" t="s">
        <v>35</v>
      </c>
      <c r="D3" s="13" t="s">
        <v>52</v>
      </c>
    </row>
    <row r="4" spans="1:4" x14ac:dyDescent="0.45">
      <c r="A4" s="11" t="s">
        <v>2</v>
      </c>
      <c r="B4" s="12">
        <v>3</v>
      </c>
      <c r="C4" s="12" t="s">
        <v>36</v>
      </c>
      <c r="D4" s="13" t="s">
        <v>51</v>
      </c>
    </row>
    <row r="5" spans="1:4" x14ac:dyDescent="0.45">
      <c r="A5" s="11" t="s">
        <v>3</v>
      </c>
      <c r="B5" s="12">
        <v>4</v>
      </c>
      <c r="C5" s="12" t="s">
        <v>37</v>
      </c>
      <c r="D5" s="13" t="s">
        <v>52</v>
      </c>
    </row>
    <row r="6" spans="1:4" x14ac:dyDescent="0.45">
      <c r="A6" s="11" t="s">
        <v>4</v>
      </c>
      <c r="B6" s="12">
        <v>5</v>
      </c>
      <c r="C6" s="12" t="s">
        <v>38</v>
      </c>
      <c r="D6" s="13" t="s">
        <v>51</v>
      </c>
    </row>
    <row r="7" spans="1:4" x14ac:dyDescent="0.45">
      <c r="A7" s="11" t="s">
        <v>5</v>
      </c>
      <c r="B7" s="12">
        <v>6</v>
      </c>
      <c r="C7" s="12" t="s">
        <v>39</v>
      </c>
      <c r="D7" s="13" t="s">
        <v>52</v>
      </c>
    </row>
    <row r="8" spans="1:4" x14ac:dyDescent="0.45">
      <c r="A8" s="11" t="s">
        <v>6</v>
      </c>
      <c r="B8" s="12">
        <v>7</v>
      </c>
      <c r="C8" s="12" t="s">
        <v>40</v>
      </c>
      <c r="D8" s="13" t="s">
        <v>51</v>
      </c>
    </row>
    <row r="9" spans="1:4" x14ac:dyDescent="0.45">
      <c r="A9" s="11" t="s">
        <v>14</v>
      </c>
      <c r="B9" s="12">
        <v>8</v>
      </c>
      <c r="C9" s="12" t="s">
        <v>41</v>
      </c>
      <c r="D9" s="13" t="s">
        <v>52</v>
      </c>
    </row>
    <row r="10" spans="1:4" x14ac:dyDescent="0.45">
      <c r="A10" s="11" t="s">
        <v>15</v>
      </c>
      <c r="B10" s="12">
        <v>9</v>
      </c>
      <c r="C10" s="12" t="s">
        <v>42</v>
      </c>
      <c r="D10" s="13" t="s">
        <v>51</v>
      </c>
    </row>
    <row r="11" spans="1:4" x14ac:dyDescent="0.45">
      <c r="A11" s="14" t="s">
        <v>9</v>
      </c>
      <c r="B11" s="15">
        <v>10</v>
      </c>
      <c r="C11" s="15" t="s">
        <v>43</v>
      </c>
      <c r="D11" s="16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96C7-36D5-46EC-A815-E1DF47D67898}">
  <dimension ref="A1:D11"/>
  <sheetViews>
    <sheetView workbookViewId="0">
      <selection activeCell="B14" sqref="B14"/>
    </sheetView>
  </sheetViews>
  <sheetFormatPr defaultRowHeight="14.25" x14ac:dyDescent="0.45"/>
  <sheetData>
    <row r="1" spans="1:4" x14ac:dyDescent="0.45">
      <c r="A1" s="22" t="s">
        <v>44</v>
      </c>
      <c r="B1" s="17" t="s">
        <v>55</v>
      </c>
      <c r="C1" s="18" t="s">
        <v>56</v>
      </c>
      <c r="D1" s="23" t="s">
        <v>57</v>
      </c>
    </row>
    <row r="2" spans="1:4" x14ac:dyDescent="0.45">
      <c r="A2" s="11" t="s">
        <v>0</v>
      </c>
      <c r="B2" s="19" t="s">
        <v>87</v>
      </c>
      <c r="C2" s="20" t="s">
        <v>92</v>
      </c>
      <c r="D2" s="24" t="s">
        <v>76</v>
      </c>
    </row>
    <row r="3" spans="1:4" x14ac:dyDescent="0.45">
      <c r="A3" s="11" t="s">
        <v>1</v>
      </c>
      <c r="B3" s="19" t="s">
        <v>87</v>
      </c>
      <c r="C3" s="20" t="s">
        <v>92</v>
      </c>
      <c r="D3" s="24" t="s">
        <v>76</v>
      </c>
    </row>
    <row r="4" spans="1:4" x14ac:dyDescent="0.45">
      <c r="A4" s="11" t="s">
        <v>2</v>
      </c>
      <c r="B4" s="19" t="s">
        <v>88</v>
      </c>
      <c r="C4" s="20" t="s">
        <v>93</v>
      </c>
      <c r="D4" s="24" t="s">
        <v>79</v>
      </c>
    </row>
    <row r="5" spans="1:4" x14ac:dyDescent="0.45">
      <c r="A5" s="11" t="s">
        <v>3</v>
      </c>
      <c r="B5" s="19" t="s">
        <v>88</v>
      </c>
      <c r="C5" s="20" t="s">
        <v>93</v>
      </c>
      <c r="D5" s="24" t="s">
        <v>79</v>
      </c>
    </row>
    <row r="6" spans="1:4" x14ac:dyDescent="0.45">
      <c r="A6" s="11" t="s">
        <v>4</v>
      </c>
      <c r="B6" s="19" t="s">
        <v>89</v>
      </c>
      <c r="C6" s="20" t="s">
        <v>94</v>
      </c>
      <c r="D6" s="24" t="s">
        <v>97</v>
      </c>
    </row>
    <row r="7" spans="1:4" x14ac:dyDescent="0.45">
      <c r="A7" s="11" t="s">
        <v>5</v>
      </c>
      <c r="B7" s="19" t="s">
        <v>89</v>
      </c>
      <c r="C7" s="20" t="s">
        <v>94</v>
      </c>
      <c r="D7" s="24" t="s">
        <v>97</v>
      </c>
    </row>
    <row r="8" spans="1:4" x14ac:dyDescent="0.45">
      <c r="A8" s="11" t="s">
        <v>6</v>
      </c>
      <c r="B8" s="19" t="s">
        <v>90</v>
      </c>
      <c r="C8" s="20" t="s">
        <v>95</v>
      </c>
      <c r="D8" s="24" t="s">
        <v>82</v>
      </c>
    </row>
    <row r="9" spans="1:4" x14ac:dyDescent="0.45">
      <c r="A9" s="11" t="s">
        <v>14</v>
      </c>
      <c r="B9" s="19" t="s">
        <v>90</v>
      </c>
      <c r="C9" s="20" t="s">
        <v>95</v>
      </c>
      <c r="D9" s="24" t="s">
        <v>82</v>
      </c>
    </row>
    <row r="10" spans="1:4" x14ac:dyDescent="0.45">
      <c r="A10" s="11" t="s">
        <v>15</v>
      </c>
      <c r="B10" s="19" t="s">
        <v>91</v>
      </c>
      <c r="C10" s="21" t="s">
        <v>96</v>
      </c>
      <c r="D10" s="25" t="s">
        <v>73</v>
      </c>
    </row>
    <row r="11" spans="1:4" x14ac:dyDescent="0.45">
      <c r="A11" s="11" t="s">
        <v>9</v>
      </c>
      <c r="B11" s="19" t="s">
        <v>91</v>
      </c>
      <c r="C11" s="21" t="s">
        <v>96</v>
      </c>
      <c r="D11" s="25" t="s">
        <v>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ECFB-E6AD-4A42-B847-940F5408A147}">
  <dimension ref="A1:D13"/>
  <sheetViews>
    <sheetView workbookViewId="0">
      <selection activeCell="F7" sqref="F7"/>
    </sheetView>
  </sheetViews>
  <sheetFormatPr defaultRowHeight="14.25" x14ac:dyDescent="0.45"/>
  <cols>
    <col min="1" max="16384" width="9.06640625" style="10"/>
  </cols>
  <sheetData>
    <row r="1" spans="1:4" x14ac:dyDescent="0.45">
      <c r="A1" s="7" t="s">
        <v>47</v>
      </c>
      <c r="B1" s="8" t="s">
        <v>45</v>
      </c>
      <c r="C1" s="8" t="s">
        <v>46</v>
      </c>
      <c r="D1" s="9" t="s">
        <v>50</v>
      </c>
    </row>
    <row r="2" spans="1:4" x14ac:dyDescent="0.45">
      <c r="A2" s="11" t="s">
        <v>10</v>
      </c>
      <c r="B2" s="12">
        <v>1</v>
      </c>
      <c r="C2" s="12" t="s">
        <v>22</v>
      </c>
      <c r="D2" s="13" t="s">
        <v>53</v>
      </c>
    </row>
    <row r="3" spans="1:4" x14ac:dyDescent="0.45">
      <c r="A3" s="11" t="s">
        <v>11</v>
      </c>
      <c r="B3" s="12">
        <v>2</v>
      </c>
      <c r="C3" s="12" t="s">
        <v>23</v>
      </c>
      <c r="D3" s="13" t="s">
        <v>54</v>
      </c>
    </row>
    <row r="4" spans="1:4" x14ac:dyDescent="0.45">
      <c r="A4" s="11" t="s">
        <v>12</v>
      </c>
      <c r="B4" s="12">
        <v>3</v>
      </c>
      <c r="C4" s="12" t="s">
        <v>24</v>
      </c>
      <c r="D4" s="13" t="s">
        <v>53</v>
      </c>
    </row>
    <row r="5" spans="1:4" x14ac:dyDescent="0.45">
      <c r="A5" s="11" t="s">
        <v>13</v>
      </c>
      <c r="B5" s="12">
        <v>4</v>
      </c>
      <c r="C5" s="12" t="s">
        <v>25</v>
      </c>
      <c r="D5" s="13" t="s">
        <v>54</v>
      </c>
    </row>
    <row r="6" spans="1:4" x14ac:dyDescent="0.45">
      <c r="A6" s="11" t="s">
        <v>16</v>
      </c>
      <c r="B6" s="12">
        <v>5</v>
      </c>
      <c r="C6" s="12" t="s">
        <v>26</v>
      </c>
      <c r="D6" s="13" t="s">
        <v>53</v>
      </c>
    </row>
    <row r="7" spans="1:4" x14ac:dyDescent="0.45">
      <c r="A7" s="11" t="s">
        <v>17</v>
      </c>
      <c r="B7" s="12">
        <v>6</v>
      </c>
      <c r="C7" s="12" t="s">
        <v>27</v>
      </c>
      <c r="D7" s="13" t="s">
        <v>54</v>
      </c>
    </row>
    <row r="8" spans="1:4" x14ac:dyDescent="0.45">
      <c r="A8" s="11" t="s">
        <v>18</v>
      </c>
      <c r="B8" s="12">
        <v>7</v>
      </c>
      <c r="C8" s="12" t="s">
        <v>28</v>
      </c>
      <c r="D8" s="13" t="s">
        <v>53</v>
      </c>
    </row>
    <row r="9" spans="1:4" x14ac:dyDescent="0.45">
      <c r="A9" s="11" t="s">
        <v>19</v>
      </c>
      <c r="B9" s="12">
        <v>8</v>
      </c>
      <c r="C9" s="12" t="s">
        <v>29</v>
      </c>
      <c r="D9" s="13" t="s">
        <v>54</v>
      </c>
    </row>
    <row r="10" spans="1:4" x14ac:dyDescent="0.45">
      <c r="A10" s="11" t="s">
        <v>7</v>
      </c>
      <c r="B10" s="12">
        <v>9</v>
      </c>
      <c r="C10" s="12" t="s">
        <v>30</v>
      </c>
      <c r="D10" s="13" t="s">
        <v>53</v>
      </c>
    </row>
    <row r="11" spans="1:4" x14ac:dyDescent="0.45">
      <c r="A11" s="11" t="s">
        <v>8</v>
      </c>
      <c r="B11" s="12">
        <v>10</v>
      </c>
      <c r="C11" s="12" t="s">
        <v>31</v>
      </c>
      <c r="D11" s="13" t="s">
        <v>54</v>
      </c>
    </row>
    <row r="12" spans="1:4" x14ac:dyDescent="0.45">
      <c r="A12" s="11" t="s">
        <v>20</v>
      </c>
      <c r="B12" s="12">
        <v>11</v>
      </c>
      <c r="C12" s="12" t="s">
        <v>32</v>
      </c>
      <c r="D12" s="13" t="s">
        <v>53</v>
      </c>
    </row>
    <row r="13" spans="1:4" x14ac:dyDescent="0.45">
      <c r="A13" s="14" t="s">
        <v>21</v>
      </c>
      <c r="B13" s="15">
        <v>12</v>
      </c>
      <c r="C13" s="15" t="s">
        <v>33</v>
      </c>
      <c r="D13" s="16" t="s">
        <v>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A8BB-F7F3-4654-9E22-91E47B3B7703}">
  <dimension ref="A1:D61"/>
  <sheetViews>
    <sheetView workbookViewId="0">
      <selection activeCell="M25" sqref="M25"/>
    </sheetView>
  </sheetViews>
  <sheetFormatPr defaultRowHeight="14.25" x14ac:dyDescent="0.45"/>
  <sheetData>
    <row r="1" spans="1:4" x14ac:dyDescent="0.45">
      <c r="A1" s="7" t="s">
        <v>44</v>
      </c>
      <c r="B1" s="8" t="s">
        <v>47</v>
      </c>
      <c r="C1" s="8" t="s">
        <v>45</v>
      </c>
      <c r="D1" s="9" t="s">
        <v>48</v>
      </c>
    </row>
    <row r="2" spans="1:4" x14ac:dyDescent="0.45">
      <c r="A2" s="11" t="s">
        <v>0</v>
      </c>
      <c r="B2" s="12" t="s">
        <v>10</v>
      </c>
      <c r="C2" s="12">
        <v>1</v>
      </c>
      <c r="D2" s="13" t="s">
        <v>49</v>
      </c>
    </row>
    <row r="3" spans="1:4" x14ac:dyDescent="0.45">
      <c r="A3" s="11" t="s">
        <v>1</v>
      </c>
      <c r="B3" s="12" t="s">
        <v>11</v>
      </c>
      <c r="C3" s="12">
        <v>2</v>
      </c>
      <c r="D3" s="13" t="s">
        <v>49</v>
      </c>
    </row>
    <row r="4" spans="1:4" x14ac:dyDescent="0.45">
      <c r="A4" s="11" t="s">
        <v>2</v>
      </c>
      <c r="B4" s="12" t="s">
        <v>12</v>
      </c>
      <c r="C4" s="12">
        <v>3</v>
      </c>
      <c r="D4" s="13" t="s">
        <v>49</v>
      </c>
    </row>
    <row r="5" spans="1:4" x14ac:dyDescent="0.45">
      <c r="A5" s="11" t="s">
        <v>3</v>
      </c>
      <c r="B5" s="12" t="s">
        <v>13</v>
      </c>
      <c r="C5" s="12">
        <v>4</v>
      </c>
      <c r="D5" s="13" t="s">
        <v>49</v>
      </c>
    </row>
    <row r="6" spans="1:4" x14ac:dyDescent="0.45">
      <c r="A6" s="11" t="s">
        <v>4</v>
      </c>
      <c r="B6" s="12" t="s">
        <v>16</v>
      </c>
      <c r="C6" s="12">
        <v>5</v>
      </c>
      <c r="D6" s="13" t="s">
        <v>49</v>
      </c>
    </row>
    <row r="7" spans="1:4" x14ac:dyDescent="0.45">
      <c r="A7" s="11" t="s">
        <v>5</v>
      </c>
      <c r="B7" s="12" t="s">
        <v>17</v>
      </c>
      <c r="C7" s="12">
        <v>6</v>
      </c>
      <c r="D7" s="13" t="s">
        <v>49</v>
      </c>
    </row>
    <row r="8" spans="1:4" x14ac:dyDescent="0.45">
      <c r="A8" s="11" t="s">
        <v>6</v>
      </c>
      <c r="B8" s="12" t="s">
        <v>18</v>
      </c>
      <c r="C8" s="12">
        <v>7</v>
      </c>
      <c r="D8" s="13" t="s">
        <v>49</v>
      </c>
    </row>
    <row r="9" spans="1:4" x14ac:dyDescent="0.45">
      <c r="A9" s="11" t="s">
        <v>14</v>
      </c>
      <c r="B9" s="12" t="s">
        <v>19</v>
      </c>
      <c r="C9" s="12">
        <v>8</v>
      </c>
      <c r="D9" s="13" t="s">
        <v>49</v>
      </c>
    </row>
    <row r="10" spans="1:4" x14ac:dyDescent="0.45">
      <c r="A10" s="11" t="s">
        <v>15</v>
      </c>
      <c r="B10" s="12" t="s">
        <v>7</v>
      </c>
      <c r="C10" s="12">
        <v>9</v>
      </c>
      <c r="D10" s="13" t="s">
        <v>49</v>
      </c>
    </row>
    <row r="11" spans="1:4" x14ac:dyDescent="0.45">
      <c r="A11" s="11" t="s">
        <v>9</v>
      </c>
      <c r="B11" s="12" t="s">
        <v>8</v>
      </c>
      <c r="C11" s="12">
        <v>10</v>
      </c>
      <c r="D11" s="13" t="s">
        <v>49</v>
      </c>
    </row>
    <row r="12" spans="1:4" x14ac:dyDescent="0.45">
      <c r="A12" s="11" t="s">
        <v>0</v>
      </c>
      <c r="B12" s="12" t="s">
        <v>20</v>
      </c>
      <c r="C12" s="12">
        <v>11</v>
      </c>
      <c r="D12" s="13" t="s">
        <v>49</v>
      </c>
    </row>
    <row r="13" spans="1:4" x14ac:dyDescent="0.45">
      <c r="A13" s="11" t="s">
        <v>1</v>
      </c>
      <c r="B13" s="12" t="s">
        <v>21</v>
      </c>
      <c r="C13" s="12">
        <v>12</v>
      </c>
      <c r="D13" s="13" t="s">
        <v>49</v>
      </c>
    </row>
    <row r="14" spans="1:4" x14ac:dyDescent="0.45">
      <c r="A14" s="11" t="s">
        <v>2</v>
      </c>
      <c r="B14" s="12" t="s">
        <v>10</v>
      </c>
      <c r="C14" s="12">
        <v>13</v>
      </c>
      <c r="D14" s="13" t="s">
        <v>49</v>
      </c>
    </row>
    <row r="15" spans="1:4" x14ac:dyDescent="0.45">
      <c r="A15" s="11" t="s">
        <v>3</v>
      </c>
      <c r="B15" s="12" t="s">
        <v>11</v>
      </c>
      <c r="C15" s="12">
        <v>14</v>
      </c>
      <c r="D15" s="13" t="s">
        <v>49</v>
      </c>
    </row>
    <row r="16" spans="1:4" x14ac:dyDescent="0.45">
      <c r="A16" s="11" t="s">
        <v>4</v>
      </c>
      <c r="B16" s="12" t="s">
        <v>12</v>
      </c>
      <c r="C16" s="12">
        <v>15</v>
      </c>
      <c r="D16" s="13" t="s">
        <v>49</v>
      </c>
    </row>
    <row r="17" spans="1:4" x14ac:dyDescent="0.45">
      <c r="A17" s="11" t="s">
        <v>5</v>
      </c>
      <c r="B17" s="12" t="s">
        <v>13</v>
      </c>
      <c r="C17" s="12">
        <v>16</v>
      </c>
      <c r="D17" s="13" t="s">
        <v>49</v>
      </c>
    </row>
    <row r="18" spans="1:4" x14ac:dyDescent="0.45">
      <c r="A18" s="11" t="s">
        <v>6</v>
      </c>
      <c r="B18" s="12" t="s">
        <v>16</v>
      </c>
      <c r="C18" s="12">
        <v>17</v>
      </c>
      <c r="D18" s="13" t="s">
        <v>49</v>
      </c>
    </row>
    <row r="19" spans="1:4" x14ac:dyDescent="0.45">
      <c r="A19" s="11" t="s">
        <v>14</v>
      </c>
      <c r="B19" s="12" t="s">
        <v>17</v>
      </c>
      <c r="C19" s="12">
        <v>18</v>
      </c>
      <c r="D19" s="13" t="s">
        <v>49</v>
      </c>
    </row>
    <row r="20" spans="1:4" x14ac:dyDescent="0.45">
      <c r="A20" s="11" t="s">
        <v>15</v>
      </c>
      <c r="B20" s="12" t="s">
        <v>18</v>
      </c>
      <c r="C20" s="12">
        <v>19</v>
      </c>
      <c r="D20" s="13" t="s">
        <v>49</v>
      </c>
    </row>
    <row r="21" spans="1:4" x14ac:dyDescent="0.45">
      <c r="A21" s="11" t="s">
        <v>9</v>
      </c>
      <c r="B21" s="12" t="s">
        <v>19</v>
      </c>
      <c r="C21" s="12">
        <v>20</v>
      </c>
      <c r="D21" s="13" t="s">
        <v>49</v>
      </c>
    </row>
    <row r="22" spans="1:4" x14ac:dyDescent="0.45">
      <c r="A22" s="11" t="s">
        <v>0</v>
      </c>
      <c r="B22" s="12" t="s">
        <v>7</v>
      </c>
      <c r="C22" s="12">
        <v>21</v>
      </c>
      <c r="D22" s="13" t="s">
        <v>49</v>
      </c>
    </row>
    <row r="23" spans="1:4" x14ac:dyDescent="0.45">
      <c r="A23" s="11" t="s">
        <v>1</v>
      </c>
      <c r="B23" s="12" t="s">
        <v>8</v>
      </c>
      <c r="C23" s="12">
        <v>22</v>
      </c>
      <c r="D23" s="13" t="s">
        <v>49</v>
      </c>
    </row>
    <row r="24" spans="1:4" x14ac:dyDescent="0.45">
      <c r="A24" s="11" t="s">
        <v>2</v>
      </c>
      <c r="B24" s="12" t="s">
        <v>20</v>
      </c>
      <c r="C24" s="12">
        <v>23</v>
      </c>
      <c r="D24" s="13" t="s">
        <v>49</v>
      </c>
    </row>
    <row r="25" spans="1:4" x14ac:dyDescent="0.45">
      <c r="A25" s="11" t="s">
        <v>3</v>
      </c>
      <c r="B25" s="12" t="s">
        <v>21</v>
      </c>
      <c r="C25" s="12">
        <v>24</v>
      </c>
      <c r="D25" s="13" t="s">
        <v>49</v>
      </c>
    </row>
    <row r="26" spans="1:4" x14ac:dyDescent="0.45">
      <c r="A26" s="11" t="s">
        <v>4</v>
      </c>
      <c r="B26" s="12" t="s">
        <v>10</v>
      </c>
      <c r="C26" s="12">
        <v>25</v>
      </c>
      <c r="D26" s="13" t="s">
        <v>49</v>
      </c>
    </row>
    <row r="27" spans="1:4" x14ac:dyDescent="0.45">
      <c r="A27" s="11" t="s">
        <v>5</v>
      </c>
      <c r="B27" s="12" t="s">
        <v>11</v>
      </c>
      <c r="C27" s="12">
        <v>26</v>
      </c>
      <c r="D27" s="13" t="s">
        <v>49</v>
      </c>
    </row>
    <row r="28" spans="1:4" x14ac:dyDescent="0.45">
      <c r="A28" s="11" t="s">
        <v>6</v>
      </c>
      <c r="B28" s="12" t="s">
        <v>12</v>
      </c>
      <c r="C28" s="12">
        <v>27</v>
      </c>
      <c r="D28" s="13" t="s">
        <v>49</v>
      </c>
    </row>
    <row r="29" spans="1:4" x14ac:dyDescent="0.45">
      <c r="A29" s="11" t="s">
        <v>14</v>
      </c>
      <c r="B29" s="12" t="s">
        <v>13</v>
      </c>
      <c r="C29" s="12">
        <v>28</v>
      </c>
      <c r="D29" s="13" t="s">
        <v>49</v>
      </c>
    </row>
    <row r="30" spans="1:4" x14ac:dyDescent="0.45">
      <c r="A30" s="11" t="s">
        <v>15</v>
      </c>
      <c r="B30" s="12" t="s">
        <v>16</v>
      </c>
      <c r="C30" s="12">
        <v>29</v>
      </c>
      <c r="D30" s="13" t="s">
        <v>49</v>
      </c>
    </row>
    <row r="31" spans="1:4" x14ac:dyDescent="0.45">
      <c r="A31" s="11" t="s">
        <v>9</v>
      </c>
      <c r="B31" s="12" t="s">
        <v>17</v>
      </c>
      <c r="C31" s="12">
        <v>30</v>
      </c>
      <c r="D31" s="13" t="s">
        <v>49</v>
      </c>
    </row>
    <row r="32" spans="1:4" x14ac:dyDescent="0.45">
      <c r="A32" s="11" t="s">
        <v>0</v>
      </c>
      <c r="B32" s="12" t="s">
        <v>18</v>
      </c>
      <c r="C32" s="12">
        <v>31</v>
      </c>
      <c r="D32" s="13" t="s">
        <v>49</v>
      </c>
    </row>
    <row r="33" spans="1:4" x14ac:dyDescent="0.45">
      <c r="A33" s="11" t="s">
        <v>1</v>
      </c>
      <c r="B33" s="12" t="s">
        <v>19</v>
      </c>
      <c r="C33" s="12">
        <v>32</v>
      </c>
      <c r="D33" s="13" t="s">
        <v>49</v>
      </c>
    </row>
    <row r="34" spans="1:4" x14ac:dyDescent="0.45">
      <c r="A34" s="11" t="s">
        <v>2</v>
      </c>
      <c r="B34" s="12" t="s">
        <v>7</v>
      </c>
      <c r="C34" s="12">
        <v>33</v>
      </c>
      <c r="D34" s="13" t="s">
        <v>49</v>
      </c>
    </row>
    <row r="35" spans="1:4" x14ac:dyDescent="0.45">
      <c r="A35" s="11" t="s">
        <v>3</v>
      </c>
      <c r="B35" s="12" t="s">
        <v>8</v>
      </c>
      <c r="C35" s="12">
        <v>34</v>
      </c>
      <c r="D35" s="13" t="s">
        <v>49</v>
      </c>
    </row>
    <row r="36" spans="1:4" x14ac:dyDescent="0.45">
      <c r="A36" s="11" t="s">
        <v>4</v>
      </c>
      <c r="B36" s="12" t="s">
        <v>20</v>
      </c>
      <c r="C36" s="12">
        <v>35</v>
      </c>
      <c r="D36" s="13" t="s">
        <v>49</v>
      </c>
    </row>
    <row r="37" spans="1:4" x14ac:dyDescent="0.45">
      <c r="A37" s="11" t="s">
        <v>5</v>
      </c>
      <c r="B37" s="12" t="s">
        <v>21</v>
      </c>
      <c r="C37" s="12">
        <v>36</v>
      </c>
      <c r="D37" s="13" t="s">
        <v>49</v>
      </c>
    </row>
    <row r="38" spans="1:4" x14ac:dyDescent="0.45">
      <c r="A38" s="11" t="s">
        <v>6</v>
      </c>
      <c r="B38" s="12" t="s">
        <v>10</v>
      </c>
      <c r="C38" s="12">
        <v>37</v>
      </c>
      <c r="D38" s="13" t="s">
        <v>49</v>
      </c>
    </row>
    <row r="39" spans="1:4" x14ac:dyDescent="0.45">
      <c r="A39" s="11" t="s">
        <v>14</v>
      </c>
      <c r="B39" s="12" t="s">
        <v>11</v>
      </c>
      <c r="C39" s="12">
        <v>38</v>
      </c>
      <c r="D39" s="13" t="s">
        <v>49</v>
      </c>
    </row>
    <row r="40" spans="1:4" x14ac:dyDescent="0.45">
      <c r="A40" s="11" t="s">
        <v>15</v>
      </c>
      <c r="B40" s="12" t="s">
        <v>12</v>
      </c>
      <c r="C40" s="12">
        <v>39</v>
      </c>
      <c r="D40" s="13" t="s">
        <v>49</v>
      </c>
    </row>
    <row r="41" spans="1:4" x14ac:dyDescent="0.45">
      <c r="A41" s="11" t="s">
        <v>9</v>
      </c>
      <c r="B41" s="12" t="s">
        <v>13</v>
      </c>
      <c r="C41" s="12">
        <v>40</v>
      </c>
      <c r="D41" s="13" t="s">
        <v>49</v>
      </c>
    </row>
    <row r="42" spans="1:4" x14ac:dyDescent="0.45">
      <c r="A42" s="11" t="s">
        <v>0</v>
      </c>
      <c r="B42" s="12" t="s">
        <v>16</v>
      </c>
      <c r="C42" s="12">
        <v>41</v>
      </c>
      <c r="D42" s="13" t="s">
        <v>49</v>
      </c>
    </row>
    <row r="43" spans="1:4" x14ac:dyDescent="0.45">
      <c r="A43" s="11" t="s">
        <v>1</v>
      </c>
      <c r="B43" s="12" t="s">
        <v>17</v>
      </c>
      <c r="C43" s="12">
        <v>42</v>
      </c>
      <c r="D43" s="13" t="s">
        <v>49</v>
      </c>
    </row>
    <row r="44" spans="1:4" x14ac:dyDescent="0.45">
      <c r="A44" s="11" t="s">
        <v>2</v>
      </c>
      <c r="B44" s="12" t="s">
        <v>18</v>
      </c>
      <c r="C44" s="12">
        <v>43</v>
      </c>
      <c r="D44" s="13" t="s">
        <v>49</v>
      </c>
    </row>
    <row r="45" spans="1:4" x14ac:dyDescent="0.45">
      <c r="A45" s="11" t="s">
        <v>3</v>
      </c>
      <c r="B45" s="12" t="s">
        <v>19</v>
      </c>
      <c r="C45" s="12">
        <v>44</v>
      </c>
      <c r="D45" s="13" t="s">
        <v>49</v>
      </c>
    </row>
    <row r="46" spans="1:4" x14ac:dyDescent="0.45">
      <c r="A46" s="11" t="s">
        <v>4</v>
      </c>
      <c r="B46" s="12" t="s">
        <v>7</v>
      </c>
      <c r="C46" s="12">
        <v>45</v>
      </c>
      <c r="D46" s="13" t="s">
        <v>49</v>
      </c>
    </row>
    <row r="47" spans="1:4" x14ac:dyDescent="0.45">
      <c r="A47" s="11" t="s">
        <v>5</v>
      </c>
      <c r="B47" s="12" t="s">
        <v>8</v>
      </c>
      <c r="C47" s="12">
        <v>46</v>
      </c>
      <c r="D47" s="13" t="s">
        <v>49</v>
      </c>
    </row>
    <row r="48" spans="1:4" x14ac:dyDescent="0.45">
      <c r="A48" s="11" t="s">
        <v>6</v>
      </c>
      <c r="B48" s="12" t="s">
        <v>20</v>
      </c>
      <c r="C48" s="12">
        <v>47</v>
      </c>
      <c r="D48" s="13" t="s">
        <v>49</v>
      </c>
    </row>
    <row r="49" spans="1:4" x14ac:dyDescent="0.45">
      <c r="A49" s="11" t="s">
        <v>14</v>
      </c>
      <c r="B49" s="12" t="s">
        <v>21</v>
      </c>
      <c r="C49" s="12">
        <v>48</v>
      </c>
      <c r="D49" s="13" t="s">
        <v>49</v>
      </c>
    </row>
    <row r="50" spans="1:4" x14ac:dyDescent="0.45">
      <c r="A50" s="11" t="s">
        <v>15</v>
      </c>
      <c r="B50" s="12" t="s">
        <v>10</v>
      </c>
      <c r="C50" s="12">
        <v>49</v>
      </c>
      <c r="D50" s="13" t="s">
        <v>49</v>
      </c>
    </row>
    <row r="51" spans="1:4" x14ac:dyDescent="0.45">
      <c r="A51" s="11" t="s">
        <v>9</v>
      </c>
      <c r="B51" s="12" t="s">
        <v>11</v>
      </c>
      <c r="C51" s="12">
        <v>50</v>
      </c>
      <c r="D51" s="13" t="s">
        <v>49</v>
      </c>
    </row>
    <row r="52" spans="1:4" x14ac:dyDescent="0.45">
      <c r="A52" s="11" t="s">
        <v>0</v>
      </c>
      <c r="B52" s="12" t="s">
        <v>12</v>
      </c>
      <c r="C52" s="12">
        <v>51</v>
      </c>
      <c r="D52" s="13" t="s">
        <v>49</v>
      </c>
    </row>
    <row r="53" spans="1:4" x14ac:dyDescent="0.45">
      <c r="A53" s="11" t="s">
        <v>1</v>
      </c>
      <c r="B53" s="12" t="s">
        <v>13</v>
      </c>
      <c r="C53" s="12">
        <v>52</v>
      </c>
      <c r="D53" s="13" t="s">
        <v>49</v>
      </c>
    </row>
    <row r="54" spans="1:4" x14ac:dyDescent="0.45">
      <c r="A54" s="11" t="s">
        <v>2</v>
      </c>
      <c r="B54" s="12" t="s">
        <v>16</v>
      </c>
      <c r="C54" s="12">
        <v>53</v>
      </c>
      <c r="D54" s="13" t="s">
        <v>49</v>
      </c>
    </row>
    <row r="55" spans="1:4" x14ac:dyDescent="0.45">
      <c r="A55" s="11" t="s">
        <v>3</v>
      </c>
      <c r="B55" s="12" t="s">
        <v>17</v>
      </c>
      <c r="C55" s="12">
        <v>54</v>
      </c>
      <c r="D55" s="13" t="s">
        <v>49</v>
      </c>
    </row>
    <row r="56" spans="1:4" x14ac:dyDescent="0.45">
      <c r="A56" s="11" t="s">
        <v>4</v>
      </c>
      <c r="B56" s="12" t="s">
        <v>18</v>
      </c>
      <c r="C56" s="12">
        <v>55</v>
      </c>
      <c r="D56" s="13" t="s">
        <v>49</v>
      </c>
    </row>
    <row r="57" spans="1:4" x14ac:dyDescent="0.45">
      <c r="A57" s="11" t="s">
        <v>5</v>
      </c>
      <c r="B57" s="12" t="s">
        <v>19</v>
      </c>
      <c r="C57" s="12">
        <v>56</v>
      </c>
      <c r="D57" s="13" t="s">
        <v>49</v>
      </c>
    </row>
    <row r="58" spans="1:4" x14ac:dyDescent="0.45">
      <c r="A58" s="11" t="s">
        <v>6</v>
      </c>
      <c r="B58" s="12" t="s">
        <v>7</v>
      </c>
      <c r="C58" s="12">
        <v>57</v>
      </c>
      <c r="D58" s="13" t="s">
        <v>49</v>
      </c>
    </row>
    <row r="59" spans="1:4" x14ac:dyDescent="0.45">
      <c r="A59" s="11" t="s">
        <v>14</v>
      </c>
      <c r="B59" s="12" t="s">
        <v>8</v>
      </c>
      <c r="C59" s="12">
        <v>58</v>
      </c>
      <c r="D59" s="13" t="s">
        <v>49</v>
      </c>
    </row>
    <row r="60" spans="1:4" x14ac:dyDescent="0.45">
      <c r="A60" s="11" t="s">
        <v>15</v>
      </c>
      <c r="B60" s="12" t="s">
        <v>20</v>
      </c>
      <c r="C60" s="12">
        <v>59</v>
      </c>
      <c r="D60" s="13" t="s">
        <v>49</v>
      </c>
    </row>
    <row r="61" spans="1:4" x14ac:dyDescent="0.45">
      <c r="A61" s="14" t="s">
        <v>9</v>
      </c>
      <c r="B61" s="15" t="s">
        <v>21</v>
      </c>
      <c r="C61" s="15">
        <v>60</v>
      </c>
      <c r="D61" s="16" t="s">
        <v>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A96C-141A-40F0-A6DA-1F5D6449B53A}">
  <dimension ref="A1:D13"/>
  <sheetViews>
    <sheetView workbookViewId="0">
      <selection activeCell="G21" sqref="G21"/>
    </sheetView>
  </sheetViews>
  <sheetFormatPr defaultRowHeight="14.25" x14ac:dyDescent="0.45"/>
  <cols>
    <col min="1" max="16384" width="9.06640625" style="10"/>
  </cols>
  <sheetData>
    <row r="1" spans="1:4" x14ac:dyDescent="0.45">
      <c r="A1" s="7" t="s">
        <v>47</v>
      </c>
      <c r="B1" s="26" t="s">
        <v>58</v>
      </c>
      <c r="C1" s="26" t="s">
        <v>71</v>
      </c>
      <c r="D1" s="26" t="s">
        <v>55</v>
      </c>
    </row>
    <row r="2" spans="1:4" x14ac:dyDescent="0.45">
      <c r="A2" s="11" t="s">
        <v>10</v>
      </c>
      <c r="B2" s="7" t="s">
        <v>59</v>
      </c>
      <c r="C2" s="7" t="s">
        <v>72</v>
      </c>
      <c r="D2" s="8" t="s">
        <v>91</v>
      </c>
    </row>
    <row r="3" spans="1:4" x14ac:dyDescent="0.45">
      <c r="A3" s="11" t="s">
        <v>11</v>
      </c>
      <c r="B3" s="11" t="s">
        <v>60</v>
      </c>
      <c r="C3" s="11" t="s">
        <v>73</v>
      </c>
      <c r="D3" s="12" t="s">
        <v>89</v>
      </c>
    </row>
    <row r="4" spans="1:4" x14ac:dyDescent="0.45">
      <c r="A4" s="11" t="s">
        <v>12</v>
      </c>
      <c r="B4" s="11" t="s">
        <v>61</v>
      </c>
      <c r="C4" s="11" t="s">
        <v>74</v>
      </c>
      <c r="D4" s="12" t="s">
        <v>87</v>
      </c>
    </row>
    <row r="5" spans="1:4" x14ac:dyDescent="0.45">
      <c r="A5" s="11" t="s">
        <v>13</v>
      </c>
      <c r="B5" s="11" t="s">
        <v>62</v>
      </c>
      <c r="C5" s="11" t="s">
        <v>75</v>
      </c>
      <c r="D5" s="12" t="s">
        <v>87</v>
      </c>
    </row>
    <row r="6" spans="1:4" x14ac:dyDescent="0.45">
      <c r="A6" s="11" t="s">
        <v>16</v>
      </c>
      <c r="B6" s="11" t="s">
        <v>63</v>
      </c>
      <c r="C6" s="11" t="s">
        <v>76</v>
      </c>
      <c r="D6" s="12" t="s">
        <v>89</v>
      </c>
    </row>
    <row r="7" spans="1:4" x14ac:dyDescent="0.45">
      <c r="A7" s="11" t="s">
        <v>17</v>
      </c>
      <c r="B7" s="11" t="s">
        <v>64</v>
      </c>
      <c r="C7" s="11" t="s">
        <v>77</v>
      </c>
      <c r="D7" s="12" t="s">
        <v>88</v>
      </c>
    </row>
    <row r="8" spans="1:4" x14ac:dyDescent="0.45">
      <c r="A8" s="11" t="s">
        <v>18</v>
      </c>
      <c r="B8" s="11" t="s">
        <v>65</v>
      </c>
      <c r="C8" s="11" t="s">
        <v>78</v>
      </c>
      <c r="D8" s="12" t="s">
        <v>88</v>
      </c>
    </row>
    <row r="9" spans="1:4" x14ac:dyDescent="0.45">
      <c r="A9" s="11" t="s">
        <v>19</v>
      </c>
      <c r="B9" s="11" t="s">
        <v>66</v>
      </c>
      <c r="C9" s="11" t="s">
        <v>79</v>
      </c>
      <c r="D9" s="12" t="s">
        <v>89</v>
      </c>
    </row>
    <row r="10" spans="1:4" x14ac:dyDescent="0.45">
      <c r="A10" s="11" t="s">
        <v>7</v>
      </c>
      <c r="B10" s="11" t="s">
        <v>67</v>
      </c>
      <c r="C10" s="11" t="s">
        <v>81</v>
      </c>
      <c r="D10" s="12" t="s">
        <v>90</v>
      </c>
    </row>
    <row r="11" spans="1:4" x14ac:dyDescent="0.45">
      <c r="A11" s="11" t="s">
        <v>8</v>
      </c>
      <c r="B11" s="11" t="s">
        <v>68</v>
      </c>
      <c r="C11" s="11" t="s">
        <v>80</v>
      </c>
      <c r="D11" s="12" t="s">
        <v>90</v>
      </c>
    </row>
    <row r="12" spans="1:4" x14ac:dyDescent="0.45">
      <c r="A12" s="11" t="s">
        <v>20</v>
      </c>
      <c r="B12" s="11" t="s">
        <v>69</v>
      </c>
      <c r="C12" s="11" t="s">
        <v>82</v>
      </c>
      <c r="D12" s="12" t="s">
        <v>89</v>
      </c>
    </row>
    <row r="13" spans="1:4" x14ac:dyDescent="0.45">
      <c r="A13" s="14" t="s">
        <v>21</v>
      </c>
      <c r="B13" s="14" t="s">
        <v>70</v>
      </c>
      <c r="C13" s="14" t="s">
        <v>83</v>
      </c>
      <c r="D13" s="15" t="s">
        <v>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4DB3-9F37-4B33-BA4E-8013905E75B1}">
  <dimension ref="A1:B6"/>
  <sheetViews>
    <sheetView workbookViewId="0">
      <selection activeCell="E18" sqref="E18"/>
    </sheetView>
  </sheetViews>
  <sheetFormatPr defaultRowHeight="14.25" x14ac:dyDescent="0.45"/>
  <sheetData>
    <row r="1" spans="1:2" x14ac:dyDescent="0.45">
      <c r="A1" s="1" t="s">
        <v>84</v>
      </c>
      <c r="B1" s="2" t="s">
        <v>45</v>
      </c>
    </row>
    <row r="2" spans="1:2" x14ac:dyDescent="0.45">
      <c r="A2" s="3" t="s">
        <v>98</v>
      </c>
      <c r="B2" s="4">
        <v>1</v>
      </c>
    </row>
    <row r="3" spans="1:2" x14ac:dyDescent="0.45">
      <c r="A3" s="3" t="s">
        <v>99</v>
      </c>
      <c r="B3" s="4">
        <v>2</v>
      </c>
    </row>
    <row r="4" spans="1:2" x14ac:dyDescent="0.45">
      <c r="A4" s="3" t="s">
        <v>100</v>
      </c>
      <c r="B4" s="4">
        <v>3</v>
      </c>
    </row>
    <row r="5" spans="1:2" x14ac:dyDescent="0.45">
      <c r="A5" s="3" t="s">
        <v>101</v>
      </c>
      <c r="B5" s="4">
        <v>4</v>
      </c>
    </row>
    <row r="6" spans="1:2" x14ac:dyDescent="0.45">
      <c r="A6" s="5" t="s">
        <v>102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D59C-D3B4-4A93-8077-2B4D62BF6061}">
  <dimension ref="A1:C11"/>
  <sheetViews>
    <sheetView workbookViewId="0">
      <selection activeCell="A14" sqref="A14"/>
    </sheetView>
  </sheetViews>
  <sheetFormatPr defaultRowHeight="14.25" x14ac:dyDescent="0.45"/>
  <sheetData>
    <row r="1" spans="1:3" x14ac:dyDescent="0.45">
      <c r="A1" s="27" t="s">
        <v>84</v>
      </c>
      <c r="B1" s="28" t="s">
        <v>44</v>
      </c>
      <c r="C1" s="2" t="s">
        <v>86</v>
      </c>
    </row>
    <row r="2" spans="1:3" x14ac:dyDescent="0.45">
      <c r="A2" s="3" t="s">
        <v>100</v>
      </c>
      <c r="B2" s="12" t="s">
        <v>0</v>
      </c>
      <c r="C2" s="4" t="s">
        <v>85</v>
      </c>
    </row>
    <row r="3" spans="1:3" x14ac:dyDescent="0.45">
      <c r="A3" s="3" t="s">
        <v>101</v>
      </c>
      <c r="B3" s="12" t="s">
        <v>1</v>
      </c>
      <c r="C3" s="4" t="s">
        <v>85</v>
      </c>
    </row>
    <row r="4" spans="1:3" x14ac:dyDescent="0.45">
      <c r="A4" s="3" t="s">
        <v>102</v>
      </c>
      <c r="B4" s="12" t="s">
        <v>2</v>
      </c>
      <c r="C4" s="4" t="s">
        <v>85</v>
      </c>
    </row>
    <row r="5" spans="1:3" x14ac:dyDescent="0.45">
      <c r="A5" s="3" t="s">
        <v>98</v>
      </c>
      <c r="B5" s="12" t="s">
        <v>3</v>
      </c>
      <c r="C5" s="4" t="s">
        <v>85</v>
      </c>
    </row>
    <row r="6" spans="1:3" x14ac:dyDescent="0.45">
      <c r="A6" s="3" t="s">
        <v>99</v>
      </c>
      <c r="B6" s="12" t="s">
        <v>4</v>
      </c>
      <c r="C6" s="4" t="s">
        <v>85</v>
      </c>
    </row>
    <row r="7" spans="1:3" x14ac:dyDescent="0.45">
      <c r="A7" s="3" t="s">
        <v>100</v>
      </c>
      <c r="B7" s="12" t="s">
        <v>5</v>
      </c>
      <c r="C7" s="4" t="s">
        <v>85</v>
      </c>
    </row>
    <row r="8" spans="1:3" x14ac:dyDescent="0.45">
      <c r="A8" s="3" t="s">
        <v>101</v>
      </c>
      <c r="B8" s="12" t="s">
        <v>6</v>
      </c>
      <c r="C8" s="4" t="s">
        <v>85</v>
      </c>
    </row>
    <row r="9" spans="1:3" x14ac:dyDescent="0.45">
      <c r="A9" s="3" t="s">
        <v>102</v>
      </c>
      <c r="B9" s="12" t="s">
        <v>14</v>
      </c>
      <c r="C9" s="4" t="s">
        <v>85</v>
      </c>
    </row>
    <row r="10" spans="1:3" x14ac:dyDescent="0.45">
      <c r="A10" s="3" t="s">
        <v>98</v>
      </c>
      <c r="B10" s="12" t="s">
        <v>15</v>
      </c>
      <c r="C10" s="4" t="s">
        <v>85</v>
      </c>
    </row>
    <row r="11" spans="1:3" x14ac:dyDescent="0.45">
      <c r="A11" s="5" t="s">
        <v>99</v>
      </c>
      <c r="B11" s="15" t="s">
        <v>9</v>
      </c>
      <c r="C11" s="6" t="s">
        <v>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7EB3-4E89-4A42-8AAF-C5F0BC7A381F}">
  <dimension ref="A1:I29"/>
  <sheetViews>
    <sheetView workbookViewId="0">
      <selection activeCell="J1" sqref="J1"/>
    </sheetView>
  </sheetViews>
  <sheetFormatPr defaultRowHeight="14.25" x14ac:dyDescent="0.45"/>
  <cols>
    <col min="4" max="4" width="12.33203125" bestFit="1" customWidth="1"/>
  </cols>
  <sheetData>
    <row r="1" spans="1:9" x14ac:dyDescent="0.45">
      <c r="A1" s="7" t="s">
        <v>103</v>
      </c>
      <c r="B1" s="9" t="s">
        <v>45</v>
      </c>
      <c r="C1" s="8" t="s">
        <v>46</v>
      </c>
      <c r="D1" s="8" t="s">
        <v>155</v>
      </c>
      <c r="E1" s="8" t="s">
        <v>160</v>
      </c>
      <c r="F1" s="8" t="s">
        <v>161</v>
      </c>
      <c r="G1" s="8" t="s">
        <v>162</v>
      </c>
      <c r="H1" s="8" t="s">
        <v>56</v>
      </c>
      <c r="I1" s="8" t="s">
        <v>163</v>
      </c>
    </row>
    <row r="2" spans="1:9" x14ac:dyDescent="0.45">
      <c r="A2" s="8" t="s">
        <v>124</v>
      </c>
      <c r="B2" s="12">
        <v>1</v>
      </c>
      <c r="C2" s="12" t="s">
        <v>132</v>
      </c>
      <c r="D2" s="8" t="s">
        <v>157</v>
      </c>
      <c r="E2" s="8">
        <v>26</v>
      </c>
      <c r="F2" s="8">
        <f>G29</f>
        <v>267</v>
      </c>
      <c r="G2" s="12">
        <f>Table11[[#This Row],[角度起始]]+Table11[[#This Row],[角度]]</f>
        <v>293</v>
      </c>
      <c r="H2" s="8" t="s">
        <v>96</v>
      </c>
      <c r="I2" s="8"/>
    </row>
    <row r="3" spans="1:9" x14ac:dyDescent="0.45">
      <c r="A3" s="12" t="s">
        <v>104</v>
      </c>
      <c r="B3" s="12">
        <v>2</v>
      </c>
      <c r="C3" s="12" t="s">
        <v>133</v>
      </c>
      <c r="D3" s="8" t="s">
        <v>157</v>
      </c>
      <c r="E3" s="12">
        <v>8</v>
      </c>
      <c r="F3" s="8">
        <f>G2</f>
        <v>293</v>
      </c>
      <c r="G3" s="12">
        <f>Table11[[#This Row],[角度起始]]+Table11[[#This Row],[角度]]</f>
        <v>301</v>
      </c>
      <c r="H3" s="8" t="s">
        <v>96</v>
      </c>
      <c r="I3" s="12" t="s">
        <v>164</v>
      </c>
    </row>
    <row r="4" spans="1:9" x14ac:dyDescent="0.45">
      <c r="A4" s="12" t="s">
        <v>105</v>
      </c>
      <c r="B4" s="12">
        <v>3</v>
      </c>
      <c r="C4" s="12" t="s">
        <v>134</v>
      </c>
      <c r="D4" s="8" t="s">
        <v>157</v>
      </c>
      <c r="E4" s="12">
        <v>12</v>
      </c>
      <c r="F4" s="8">
        <f t="shared" ref="F4:F8" si="0">G3</f>
        <v>301</v>
      </c>
      <c r="G4" s="12">
        <f>Table11[[#This Row],[角度起始]]+Table11[[#This Row],[角度]]</f>
        <v>313</v>
      </c>
      <c r="H4" s="8" t="s">
        <v>96</v>
      </c>
      <c r="I4" s="12" t="s">
        <v>164</v>
      </c>
    </row>
    <row r="5" spans="1:9" x14ac:dyDescent="0.45">
      <c r="A5" s="12" t="s">
        <v>125</v>
      </c>
      <c r="B5" s="12">
        <v>4</v>
      </c>
      <c r="C5" s="12" t="s">
        <v>32</v>
      </c>
      <c r="D5" s="8" t="s">
        <v>157</v>
      </c>
      <c r="E5" s="12">
        <v>10</v>
      </c>
      <c r="F5" s="8">
        <f t="shared" si="0"/>
        <v>313</v>
      </c>
      <c r="G5" s="12">
        <f>Table11[[#This Row],[角度起始]]+Table11[[#This Row],[角度]]</f>
        <v>323</v>
      </c>
      <c r="H5" s="8" t="s">
        <v>96</v>
      </c>
      <c r="I5" s="12"/>
    </row>
    <row r="6" spans="1:9" x14ac:dyDescent="0.45">
      <c r="A6" s="12" t="s">
        <v>108</v>
      </c>
      <c r="B6" s="12">
        <v>5</v>
      </c>
      <c r="C6" s="12" t="s">
        <v>135</v>
      </c>
      <c r="D6" s="8" t="s">
        <v>157</v>
      </c>
      <c r="E6" s="12">
        <v>17</v>
      </c>
      <c r="F6" s="8">
        <f t="shared" si="0"/>
        <v>323</v>
      </c>
      <c r="G6" s="12">
        <f>Table11[[#This Row],[角度起始]]+Table11[[#This Row],[角度]]</f>
        <v>340</v>
      </c>
      <c r="H6" s="8" t="s">
        <v>96</v>
      </c>
      <c r="I6" s="12" t="s">
        <v>166</v>
      </c>
    </row>
    <row r="7" spans="1:9" x14ac:dyDescent="0.45">
      <c r="A7" s="12" t="s">
        <v>109</v>
      </c>
      <c r="B7" s="12">
        <v>6</v>
      </c>
      <c r="C7" s="12" t="s">
        <v>136</v>
      </c>
      <c r="D7" s="8" t="s">
        <v>157</v>
      </c>
      <c r="E7" s="12">
        <v>16</v>
      </c>
      <c r="F7" s="8">
        <f t="shared" si="0"/>
        <v>340</v>
      </c>
      <c r="G7" s="12">
        <f>Table11[[#This Row],[角度起始]]+Table11[[#This Row],[角度]]</f>
        <v>356</v>
      </c>
      <c r="H7" s="8" t="s">
        <v>96</v>
      </c>
      <c r="I7" s="12" t="s">
        <v>166</v>
      </c>
    </row>
    <row r="8" spans="1:9" x14ac:dyDescent="0.45">
      <c r="A8" s="12" t="s">
        <v>121</v>
      </c>
      <c r="B8" s="12">
        <v>7</v>
      </c>
      <c r="C8" s="12" t="s">
        <v>137</v>
      </c>
      <c r="D8" s="8" t="s">
        <v>157</v>
      </c>
      <c r="E8" s="12">
        <v>9</v>
      </c>
      <c r="F8" s="8">
        <f t="shared" si="0"/>
        <v>356</v>
      </c>
      <c r="G8" s="12">
        <f>Table11[[#This Row],[角度起始]]+Table11[[#This Row],[角度]]</f>
        <v>365</v>
      </c>
      <c r="H8" s="8" t="s">
        <v>96</v>
      </c>
      <c r="I8" s="12" t="s">
        <v>164</v>
      </c>
    </row>
    <row r="9" spans="1:9" x14ac:dyDescent="0.45">
      <c r="A9" s="12" t="s">
        <v>120</v>
      </c>
      <c r="B9" s="12">
        <v>8</v>
      </c>
      <c r="C9" s="12" t="s">
        <v>138</v>
      </c>
      <c r="D9" s="12" t="s">
        <v>158</v>
      </c>
      <c r="E9" s="12">
        <v>16</v>
      </c>
      <c r="F9" s="12">
        <v>0</v>
      </c>
      <c r="G9" s="12">
        <f>Table11[[#This Row],[角度起始]]+Table11[[#This Row],[角度]]</f>
        <v>16</v>
      </c>
      <c r="H9" s="12" t="s">
        <v>95</v>
      </c>
      <c r="I9" s="12" t="s">
        <v>164</v>
      </c>
    </row>
    <row r="10" spans="1:9" x14ac:dyDescent="0.45">
      <c r="A10" s="12" t="s">
        <v>118</v>
      </c>
      <c r="B10" s="12">
        <v>9</v>
      </c>
      <c r="C10" s="12" t="s">
        <v>139</v>
      </c>
      <c r="D10" s="12" t="s">
        <v>158</v>
      </c>
      <c r="E10" s="12">
        <v>12</v>
      </c>
      <c r="F10" s="12">
        <f>G9</f>
        <v>16</v>
      </c>
      <c r="G10" s="12">
        <f>Table11[[#This Row],[角度起始]]+Table11[[#This Row],[角度]]</f>
        <v>28</v>
      </c>
      <c r="H10" s="12" t="s">
        <v>95</v>
      </c>
      <c r="I10" s="12" t="s">
        <v>168</v>
      </c>
    </row>
    <row r="11" spans="1:9" x14ac:dyDescent="0.45">
      <c r="A11" s="12" t="s">
        <v>119</v>
      </c>
      <c r="B11" s="12">
        <v>10</v>
      </c>
      <c r="C11" s="12" t="s">
        <v>29</v>
      </c>
      <c r="D11" s="12" t="s">
        <v>158</v>
      </c>
      <c r="E11" s="12">
        <v>14</v>
      </c>
      <c r="F11" s="12">
        <f t="shared" ref="F11:F29" si="1">G10</f>
        <v>28</v>
      </c>
      <c r="G11" s="12">
        <f>Table11[[#This Row],[角度起始]]+Table11[[#This Row],[角度]]</f>
        <v>42</v>
      </c>
      <c r="H11" s="12" t="s">
        <v>95</v>
      </c>
      <c r="I11" s="12" t="s">
        <v>168</v>
      </c>
    </row>
    <row r="12" spans="1:9" x14ac:dyDescent="0.45">
      <c r="A12" s="12" t="s">
        <v>114</v>
      </c>
      <c r="B12" s="12">
        <v>11</v>
      </c>
      <c r="C12" s="12" t="s">
        <v>25</v>
      </c>
      <c r="D12" s="12" t="s">
        <v>158</v>
      </c>
      <c r="E12" s="12">
        <v>11</v>
      </c>
      <c r="F12" s="12">
        <f t="shared" si="1"/>
        <v>42</v>
      </c>
      <c r="G12" s="12">
        <f>Table11[[#This Row],[角度起始]]+Table11[[#This Row],[角度]]</f>
        <v>53</v>
      </c>
      <c r="H12" s="12" t="s">
        <v>95</v>
      </c>
      <c r="I12" s="12" t="s">
        <v>167</v>
      </c>
    </row>
    <row r="13" spans="1:9" x14ac:dyDescent="0.45">
      <c r="A13" s="12" t="s">
        <v>115</v>
      </c>
      <c r="B13" s="12">
        <v>12</v>
      </c>
      <c r="C13" s="12" t="s">
        <v>137</v>
      </c>
      <c r="D13" s="12" t="s">
        <v>158</v>
      </c>
      <c r="E13" s="12">
        <v>16</v>
      </c>
      <c r="F13" s="12">
        <f t="shared" si="1"/>
        <v>53</v>
      </c>
      <c r="G13" s="12">
        <f>Table11[[#This Row],[角度起始]]+Table11[[#This Row],[角度]]</f>
        <v>69</v>
      </c>
      <c r="H13" s="12" t="s">
        <v>95</v>
      </c>
      <c r="I13" s="12" t="s">
        <v>167</v>
      </c>
    </row>
    <row r="14" spans="1:9" x14ac:dyDescent="0.45">
      <c r="A14" s="12" t="s">
        <v>122</v>
      </c>
      <c r="B14" s="12">
        <v>13</v>
      </c>
      <c r="C14" s="12" t="s">
        <v>140</v>
      </c>
      <c r="D14" s="12" t="s">
        <v>158</v>
      </c>
      <c r="E14" s="12">
        <v>2</v>
      </c>
      <c r="F14" s="12">
        <f t="shared" si="1"/>
        <v>69</v>
      </c>
      <c r="G14" s="12">
        <f>Table11[[#This Row],[角度起始]]+Table11[[#This Row],[角度]]</f>
        <v>71</v>
      </c>
      <c r="H14" s="12" t="s">
        <v>95</v>
      </c>
      <c r="I14" s="12"/>
    </row>
    <row r="15" spans="1:9" x14ac:dyDescent="0.45">
      <c r="A15" s="12" t="s">
        <v>126</v>
      </c>
      <c r="B15" s="12">
        <v>14</v>
      </c>
      <c r="C15" s="12" t="s">
        <v>30</v>
      </c>
      <c r="D15" s="12" t="s">
        <v>158</v>
      </c>
      <c r="E15" s="12">
        <v>9</v>
      </c>
      <c r="F15" s="12">
        <f t="shared" si="1"/>
        <v>71</v>
      </c>
      <c r="G15" s="12">
        <f>Table11[[#This Row],[角度起始]]+Table11[[#This Row],[角度]]</f>
        <v>80</v>
      </c>
      <c r="H15" s="12" t="s">
        <v>95</v>
      </c>
      <c r="I15" s="12"/>
    </row>
    <row r="16" spans="1:9" x14ac:dyDescent="0.45">
      <c r="A16" s="12" t="s">
        <v>127</v>
      </c>
      <c r="B16" s="12">
        <v>15</v>
      </c>
      <c r="C16" s="12" t="s">
        <v>141</v>
      </c>
      <c r="D16" s="12" t="s">
        <v>159</v>
      </c>
      <c r="E16" s="12">
        <v>33</v>
      </c>
      <c r="F16" s="12">
        <f t="shared" si="1"/>
        <v>80</v>
      </c>
      <c r="G16" s="12">
        <f>Table11[[#This Row],[角度起始]]+Table11[[#This Row],[角度]]</f>
        <v>113</v>
      </c>
      <c r="H16" s="12" t="s">
        <v>93</v>
      </c>
      <c r="I16" s="12"/>
    </row>
    <row r="17" spans="1:9" x14ac:dyDescent="0.45">
      <c r="A17" s="12" t="s">
        <v>111</v>
      </c>
      <c r="B17" s="12">
        <v>16</v>
      </c>
      <c r="C17" s="12" t="s">
        <v>142</v>
      </c>
      <c r="D17" s="12" t="s">
        <v>159</v>
      </c>
      <c r="E17" s="12">
        <v>4</v>
      </c>
      <c r="F17" s="12">
        <f t="shared" si="1"/>
        <v>113</v>
      </c>
      <c r="G17" s="12">
        <f>Table11[[#This Row],[角度起始]]+Table11[[#This Row],[角度]]</f>
        <v>117</v>
      </c>
      <c r="H17" s="12" t="s">
        <v>93</v>
      </c>
      <c r="I17" s="12" t="s">
        <v>166</v>
      </c>
    </row>
    <row r="18" spans="1:9" x14ac:dyDescent="0.45">
      <c r="A18" s="12" t="s">
        <v>110</v>
      </c>
      <c r="B18" s="12">
        <v>17</v>
      </c>
      <c r="C18" s="12" t="s">
        <v>143</v>
      </c>
      <c r="D18" s="12" t="s">
        <v>159</v>
      </c>
      <c r="E18" s="12">
        <v>15</v>
      </c>
      <c r="F18" s="12">
        <f t="shared" si="1"/>
        <v>117</v>
      </c>
      <c r="G18" s="12">
        <f>Table11[[#This Row],[角度起始]]+Table11[[#This Row],[角度]]</f>
        <v>132</v>
      </c>
      <c r="H18" s="12" t="s">
        <v>93</v>
      </c>
      <c r="I18" s="12" t="s">
        <v>166</v>
      </c>
    </row>
    <row r="19" spans="1:9" x14ac:dyDescent="0.45">
      <c r="A19" s="12" t="s">
        <v>128</v>
      </c>
      <c r="B19" s="12">
        <v>18</v>
      </c>
      <c r="C19" s="12" t="s">
        <v>144</v>
      </c>
      <c r="D19" s="12" t="s">
        <v>159</v>
      </c>
      <c r="E19" s="12">
        <v>7</v>
      </c>
      <c r="F19" s="12">
        <f t="shared" si="1"/>
        <v>132</v>
      </c>
      <c r="G19" s="12">
        <f>Table11[[#This Row],[角度起始]]+Table11[[#This Row],[角度]]</f>
        <v>139</v>
      </c>
      <c r="H19" s="12" t="s">
        <v>93</v>
      </c>
      <c r="I19" s="12"/>
    </row>
    <row r="20" spans="1:9" x14ac:dyDescent="0.45">
      <c r="A20" s="12" t="s">
        <v>116</v>
      </c>
      <c r="B20" s="12">
        <v>19</v>
      </c>
      <c r="C20" s="12" t="s">
        <v>145</v>
      </c>
      <c r="D20" s="12" t="s">
        <v>159</v>
      </c>
      <c r="E20" s="12">
        <v>18</v>
      </c>
      <c r="F20" s="12">
        <f t="shared" si="1"/>
        <v>139</v>
      </c>
      <c r="G20" s="12">
        <f>Table11[[#This Row],[角度起始]]+Table11[[#This Row],[角度]]</f>
        <v>157</v>
      </c>
      <c r="H20" s="12" t="s">
        <v>93</v>
      </c>
      <c r="I20" s="12" t="s">
        <v>168</v>
      </c>
    </row>
    <row r="21" spans="1:9" x14ac:dyDescent="0.45">
      <c r="A21" s="12" t="s">
        <v>117</v>
      </c>
      <c r="B21" s="12">
        <v>20</v>
      </c>
      <c r="C21" s="12" t="s">
        <v>146</v>
      </c>
      <c r="D21" s="12" t="s">
        <v>159</v>
      </c>
      <c r="E21" s="12">
        <v>18</v>
      </c>
      <c r="F21" s="12">
        <f t="shared" si="1"/>
        <v>157</v>
      </c>
      <c r="G21" s="12">
        <f>Table11[[#This Row],[角度起始]]+Table11[[#This Row],[角度]]</f>
        <v>175</v>
      </c>
      <c r="H21" s="12" t="s">
        <v>93</v>
      </c>
      <c r="I21" s="12" t="s">
        <v>168</v>
      </c>
    </row>
    <row r="22" spans="1:9" x14ac:dyDescent="0.45">
      <c r="A22" s="12" t="s">
        <v>123</v>
      </c>
      <c r="B22" s="12">
        <v>21</v>
      </c>
      <c r="C22" s="12" t="s">
        <v>147</v>
      </c>
      <c r="D22" s="12" t="s">
        <v>159</v>
      </c>
      <c r="E22" s="12">
        <v>17</v>
      </c>
      <c r="F22" s="12">
        <f t="shared" si="1"/>
        <v>175</v>
      </c>
      <c r="G22" s="12">
        <f>Table11[[#This Row],[角度起始]]+Table11[[#This Row],[角度]]</f>
        <v>192</v>
      </c>
      <c r="H22" s="12" t="s">
        <v>93</v>
      </c>
      <c r="I22" s="12" t="s">
        <v>165</v>
      </c>
    </row>
    <row r="23" spans="1:9" x14ac:dyDescent="0.45">
      <c r="A23" s="12" t="s">
        <v>129</v>
      </c>
      <c r="B23" s="12">
        <v>22</v>
      </c>
      <c r="C23" s="12" t="s">
        <v>148</v>
      </c>
      <c r="D23" s="12" t="s">
        <v>156</v>
      </c>
      <c r="E23" s="12">
        <v>12</v>
      </c>
      <c r="F23" s="12">
        <f t="shared" si="1"/>
        <v>192</v>
      </c>
      <c r="G23" s="12">
        <f>Table11[[#This Row],[角度起始]]+Table11[[#This Row],[角度]]</f>
        <v>204</v>
      </c>
      <c r="H23" s="12" t="s">
        <v>92</v>
      </c>
      <c r="I23" s="12" t="s">
        <v>165</v>
      </c>
    </row>
    <row r="24" spans="1:9" x14ac:dyDescent="0.45">
      <c r="A24" s="12" t="s">
        <v>112</v>
      </c>
      <c r="B24" s="12">
        <v>23</v>
      </c>
      <c r="C24" s="12" t="s">
        <v>149</v>
      </c>
      <c r="D24" s="12" t="s">
        <v>156</v>
      </c>
      <c r="E24" s="12">
        <v>9</v>
      </c>
      <c r="F24" s="12">
        <f t="shared" si="1"/>
        <v>204</v>
      </c>
      <c r="G24" s="12">
        <f>Table11[[#This Row],[角度起始]]+Table11[[#This Row],[角度]]</f>
        <v>213</v>
      </c>
      <c r="H24" s="12" t="s">
        <v>92</v>
      </c>
      <c r="I24" s="12" t="s">
        <v>167</v>
      </c>
    </row>
    <row r="25" spans="1:9" x14ac:dyDescent="0.45">
      <c r="A25" s="12" t="s">
        <v>113</v>
      </c>
      <c r="B25" s="12">
        <v>24</v>
      </c>
      <c r="C25" s="12" t="s">
        <v>150</v>
      </c>
      <c r="D25" s="12" t="s">
        <v>156</v>
      </c>
      <c r="E25" s="12">
        <v>15</v>
      </c>
      <c r="F25" s="12">
        <f t="shared" si="1"/>
        <v>213</v>
      </c>
      <c r="G25" s="12">
        <f>Table11[[#This Row],[角度起始]]+Table11[[#This Row],[角度]]</f>
        <v>228</v>
      </c>
      <c r="H25" s="12" t="s">
        <v>92</v>
      </c>
      <c r="I25" s="12" t="s">
        <v>167</v>
      </c>
    </row>
    <row r="26" spans="1:9" x14ac:dyDescent="0.45">
      <c r="A26" s="12" t="s">
        <v>130</v>
      </c>
      <c r="B26" s="12">
        <v>25</v>
      </c>
      <c r="C26" s="12" t="s">
        <v>151</v>
      </c>
      <c r="D26" s="12" t="s">
        <v>156</v>
      </c>
      <c r="E26" s="12">
        <v>5</v>
      </c>
      <c r="F26" s="12">
        <f t="shared" si="1"/>
        <v>228</v>
      </c>
      <c r="G26" s="12">
        <f>Table11[[#This Row],[角度起始]]+Table11[[#This Row],[角度]]</f>
        <v>233</v>
      </c>
      <c r="H26" s="12" t="s">
        <v>92</v>
      </c>
      <c r="I26" s="12"/>
    </row>
    <row r="27" spans="1:9" x14ac:dyDescent="0.45">
      <c r="A27" s="12" t="s">
        <v>106</v>
      </c>
      <c r="B27" s="12">
        <v>26</v>
      </c>
      <c r="C27" s="12" t="s">
        <v>152</v>
      </c>
      <c r="D27" s="12" t="s">
        <v>156</v>
      </c>
      <c r="E27" s="12">
        <v>5</v>
      </c>
      <c r="F27" s="12">
        <f t="shared" si="1"/>
        <v>233</v>
      </c>
      <c r="G27" s="12">
        <f>Table11[[#This Row],[角度起始]]+Table11[[#This Row],[角度]]</f>
        <v>238</v>
      </c>
      <c r="H27" s="12" t="s">
        <v>92</v>
      </c>
      <c r="I27" s="12" t="s">
        <v>165</v>
      </c>
    </row>
    <row r="28" spans="1:9" x14ac:dyDescent="0.45">
      <c r="A28" s="12" t="s">
        <v>107</v>
      </c>
      <c r="B28" s="12">
        <v>27</v>
      </c>
      <c r="C28" s="12" t="s">
        <v>153</v>
      </c>
      <c r="D28" s="12" t="s">
        <v>156</v>
      </c>
      <c r="E28" s="12">
        <v>18</v>
      </c>
      <c r="F28" s="12">
        <f t="shared" si="1"/>
        <v>238</v>
      </c>
      <c r="G28" s="12">
        <f>Table11[[#This Row],[角度起始]]+Table11[[#This Row],[角度]]</f>
        <v>256</v>
      </c>
      <c r="H28" s="12" t="s">
        <v>92</v>
      </c>
      <c r="I28" s="12" t="s">
        <v>165</v>
      </c>
    </row>
    <row r="29" spans="1:9" x14ac:dyDescent="0.45">
      <c r="A29" s="15" t="s">
        <v>131</v>
      </c>
      <c r="B29" s="12">
        <v>28</v>
      </c>
      <c r="C29" s="12" t="s">
        <v>154</v>
      </c>
      <c r="D29" s="12" t="s">
        <v>156</v>
      </c>
      <c r="E29" s="15">
        <v>11</v>
      </c>
      <c r="F29" s="12">
        <f t="shared" si="1"/>
        <v>256</v>
      </c>
      <c r="G29" s="12">
        <f>Table11[[#This Row],[角度起始]]+Table11[[#This Row],[角度]]</f>
        <v>267</v>
      </c>
      <c r="H29" s="12" t="s">
        <v>92</v>
      </c>
      <c r="I29" s="15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6E4C-FD3C-44F0-96BE-FA956044AE71}">
  <dimension ref="A1:C6"/>
  <sheetViews>
    <sheetView tabSelected="1" workbookViewId="0">
      <selection activeCell="C7" sqref="C7"/>
    </sheetView>
  </sheetViews>
  <sheetFormatPr defaultRowHeight="14.25" x14ac:dyDescent="0.45"/>
  <sheetData>
    <row r="1" spans="1:3" x14ac:dyDescent="0.45">
      <c r="A1" s="30" t="s">
        <v>163</v>
      </c>
      <c r="B1" s="2" t="s">
        <v>169</v>
      </c>
      <c r="C1" s="32" t="s">
        <v>55</v>
      </c>
    </row>
    <row r="2" spans="1:3" x14ac:dyDescent="0.45">
      <c r="A2" s="29" t="s">
        <v>164</v>
      </c>
      <c r="B2" s="4" t="s">
        <v>170</v>
      </c>
      <c r="C2" t="s">
        <v>88</v>
      </c>
    </row>
    <row r="3" spans="1:3" x14ac:dyDescent="0.45">
      <c r="A3" s="11" t="s">
        <v>166</v>
      </c>
      <c r="B3" s="4" t="s">
        <v>172</v>
      </c>
      <c r="C3" t="s">
        <v>87</v>
      </c>
    </row>
    <row r="4" spans="1:3" x14ac:dyDescent="0.45">
      <c r="A4" s="29" t="s">
        <v>165</v>
      </c>
      <c r="B4" s="4" t="s">
        <v>171</v>
      </c>
      <c r="C4" t="s">
        <v>89</v>
      </c>
    </row>
    <row r="5" spans="1:3" x14ac:dyDescent="0.45">
      <c r="A5" s="11" t="s">
        <v>168</v>
      </c>
      <c r="B5" s="4" t="s">
        <v>173</v>
      </c>
      <c r="C5" t="s">
        <v>91</v>
      </c>
    </row>
    <row r="6" spans="1:3" x14ac:dyDescent="0.45">
      <c r="A6" s="31" t="s">
        <v>167</v>
      </c>
      <c r="B6" s="6" t="s">
        <v>174</v>
      </c>
      <c r="C6" t="s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五行</vt:lpstr>
      <vt:lpstr>五方</vt:lpstr>
      <vt:lpstr>五季</vt:lpstr>
      <vt:lpstr>天干</vt:lpstr>
      <vt:lpstr>十干五行配合表</vt:lpstr>
      <vt:lpstr>地支</vt:lpstr>
      <vt:lpstr>甲子表</vt:lpstr>
      <vt:lpstr>十二支月建五行所属</vt:lpstr>
      <vt:lpstr>五运</vt:lpstr>
      <vt:lpstr>十干化运</vt:lpstr>
      <vt:lpstr>二十八宿</vt:lpstr>
      <vt:lpstr>天色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2025-12-05T07:49:07Z</dcterms:created>
  <dcterms:modified xsi:type="dcterms:W3CDTF">2025-12-06T11:48:54Z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2025-12-05T07:49:15Z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d06d3af2-a8c2-48cf-93d6-a8c42fbf3ffb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